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iitk-my.sharepoint.com/personal/manpreethm25_iitk_ac_in/Documents/"/>
    </mc:Choice>
  </mc:AlternateContent>
  <xr:revisionPtr revIDLastSave="0" documentId="8_{40912C8C-7D5F-4180-911E-620E594FBD96}" xr6:coauthVersionLast="47" xr6:coauthVersionMax="47" xr10:uidLastSave="{00000000-0000-0000-0000-000000000000}"/>
  <bookViews>
    <workbookView xWindow="-108" yWindow="-108" windowWidth="23256" windowHeight="13176" tabRatio="942" firstSheet="9" activeTab="2" xr2:uid="{5725A0F7-398F-409B-A5CF-D1128A2B1DC4}"/>
  </bookViews>
  <sheets>
    <sheet name="Assumptions" sheetId="1" r:id="rId1"/>
    <sheet name="Construction_cost " sheetId="2" r:id="rId2"/>
    <sheet name="Reports&amp;charts" sheetId="13" r:id="rId3"/>
    <sheet name="Revenue" sheetId="3" r:id="rId4"/>
    <sheet name="O&amp;M" sheetId="4" r:id="rId5"/>
    <sheet name="Depreciation" sheetId="5" r:id="rId6"/>
    <sheet name="Debt_service_EIB" sheetId="6" r:id="rId7"/>
    <sheet name="Debt_service_of_AFD" sheetId="7" r:id="rId8"/>
    <sheet name="Subordinate_debt" sheetId="8" r:id="rId9"/>
    <sheet name="Equity_Passive_investors" sheetId="10" r:id="rId10"/>
    <sheet name="Cashflow" sheetId="9" r:id="rId11"/>
    <sheet name="Equity_Active_investors" sheetId="11" r:id="rId12"/>
    <sheet name="Grant " sheetId="14" r:id="rId13"/>
  </sheets>
  <definedNames>
    <definedName name="actual_Cost">Assumptions!$C$3</definedName>
    <definedName name="Admin_cost_per_yer">Assumptions!$C$28</definedName>
    <definedName name="Admin_cot_escalation">Assumptions!$C$29</definedName>
    <definedName name="AFD_Interest">Debt_service_of_AFD!$E$7:$E$22</definedName>
    <definedName name="AFD_loan_rate">Assumptions!$C$16</definedName>
    <definedName name="Cash_Left_for_dist">Equity_Passive_investors!$I$2:$I$42</definedName>
    <definedName name="Debt_service_AFD">Debt_service_of_AFD!$F$7:$F$22</definedName>
    <definedName name="Debt_service_EIB_yr_5">Debt_service_EIB!$F$31:$F$46</definedName>
    <definedName name="Dep_Civilstruct">Assumptions!$F$32</definedName>
    <definedName name="Dep_Roling">Assumptions!$F$33</definedName>
    <definedName name="Dep_scada">Assumptions!$F$34</definedName>
    <definedName name="EBITDA">Cashflow!$G$2:$G$42</definedName>
    <definedName name="EIB_interest">Debt_service_EIB!$E$31:$E$46</definedName>
    <definedName name="EIB_loan_rate">Assumptions!$C$15</definedName>
    <definedName name="Equity_5_yrs">Assumptions!$I$41:$I$45</definedName>
    <definedName name="Escalation_factor">'Construction_cost '!$C$1</definedName>
    <definedName name="Estimated_Cost">Assumptions!$C$2</definedName>
    <definedName name="GoI">Assumptions!$F$50</definedName>
    <definedName name="GoM">Assumptions!$F$51</definedName>
    <definedName name="Non_farebox_farebox">Assumptions!$C$19</definedName>
    <definedName name="O_M_Cost">Assumptions!$C$23</definedName>
    <definedName name="O_M_escalation">Assumptions!$C$24</definedName>
    <definedName name="Operational_route_Km">Assumptions!$C$20</definedName>
    <definedName name="Passengers_per_year">Revenue!$E$3:$E$37</definedName>
    <definedName name="PCMC">Assumptions!$F$53</definedName>
    <definedName name="Per_passenger_cost">Assumptions!$C$25</definedName>
    <definedName name="PMC">Assumptions!$F$52</definedName>
    <definedName name="Power_cost_Escalation">Assumptions!$C$27</definedName>
    <definedName name="Profit_after_Tax">Cashflow!$M$1:$M$42</definedName>
    <definedName name="Subordinate_debt_payment">Subordinate_debt!$D$2:$D$42</definedName>
    <definedName name="Subordinate_debt_rate">Assumptions!$C$37</definedName>
    <definedName name="Subordinate_yr_21">Subordinate_debt!$D$28:$D$40</definedName>
    <definedName name="subordinateDebt_35">Subordinate_debt!$D$28:$D$42</definedName>
    <definedName name="Tax">Cashflow!$L$2:$L$42</definedName>
    <definedName name="Tax_rate">Assumptions!$C$36</definedName>
    <definedName name="Tot_Dep_Crs">Depreciation!$H$2:$H$61</definedName>
    <definedName name="Total_Construction_cost">'Construction_cost '!$F$3:$F$8</definedName>
    <definedName name="TOTAL_O_M_Cost">'O&amp;M'!#REF!</definedName>
    <definedName name="Total_o_M_cost_Crs">'O&amp;M'!$Q$2:$Q$36</definedName>
    <definedName name="Total_revenue_Crs">Revenue!$J$3:$J$37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3" l="1" a="1"/>
  <c r="D2" i="13"/>
  <c r="C8" i="13" a="1"/>
  <c r="C8" i="13"/>
  <c r="B8" i="13" a="1"/>
  <c r="B8" i="13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2" i="11"/>
  <c r="C3" i="11" a="1"/>
  <c r="C3" i="11" s="1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2" i="10"/>
  <c r="J2" i="10"/>
  <c r="F53" i="1"/>
  <c r="F52" i="1"/>
  <c r="F51" i="1"/>
  <c r="F50" i="1"/>
  <c r="I46" i="1"/>
  <c r="C3" i="10" a="1"/>
  <c r="C3" i="10" s="1"/>
  <c r="F47" i="1"/>
  <c r="C43" i="1"/>
  <c r="F44" i="1" s="1"/>
  <c r="I44" i="1" s="1"/>
  <c r="F42" i="1" l="1"/>
  <c r="I42" i="1" s="1"/>
  <c r="F43" i="1"/>
  <c r="I43" i="1" s="1"/>
  <c r="F41" i="1"/>
  <c r="I41" i="1" s="1"/>
  <c r="F45" i="1"/>
  <c r="I45" i="1" s="1"/>
  <c r="O43" i="9" l="1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" i="8"/>
  <c r="C3" i="7" l="1"/>
  <c r="C4" i="7" s="1"/>
  <c r="C5" i="7" s="1"/>
  <c r="C6" i="7" s="1"/>
  <c r="C27" i="6"/>
  <c r="C28" i="6" s="1"/>
  <c r="C29" i="6" s="1"/>
  <c r="C30" i="6" s="1"/>
  <c r="C3" i="6"/>
  <c r="C4" i="6" s="1"/>
  <c r="C5" i="6" s="1"/>
  <c r="C6" i="6" s="1"/>
  <c r="E7" i="6" s="1"/>
  <c r="B38" i="5"/>
  <c r="H38" i="5" s="1"/>
  <c r="B60" i="5"/>
  <c r="H60" i="5" s="1"/>
  <c r="F33" i="1"/>
  <c r="C4" i="5" s="1"/>
  <c r="F34" i="1"/>
  <c r="D10" i="5" s="1"/>
  <c r="F32" i="1"/>
  <c r="B7" i="5" s="1"/>
  <c r="M3" i="4"/>
  <c r="M4" i="4" s="1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O3" i="4"/>
  <c r="O4" i="4" s="1"/>
  <c r="O5" i="4" s="1"/>
  <c r="O6" i="4" s="1"/>
  <c r="O7" i="4" s="1"/>
  <c r="O8" i="4" s="1"/>
  <c r="O9" i="4" s="1"/>
  <c r="O10" i="4" s="1"/>
  <c r="O11" i="4" s="1"/>
  <c r="O12" i="4" s="1"/>
  <c r="O13" i="4" s="1"/>
  <c r="O14" i="4" s="1"/>
  <c r="O15" i="4" s="1"/>
  <c r="O16" i="4" s="1"/>
  <c r="O17" i="4" s="1"/>
  <c r="O18" i="4" s="1"/>
  <c r="O19" i="4" s="1"/>
  <c r="O20" i="4" s="1"/>
  <c r="O21" i="4" s="1"/>
  <c r="O22" i="4" s="1"/>
  <c r="O23" i="4" s="1"/>
  <c r="O24" i="4" s="1"/>
  <c r="O25" i="4" s="1"/>
  <c r="O26" i="4" s="1"/>
  <c r="O27" i="4" s="1"/>
  <c r="O28" i="4" s="1"/>
  <c r="O29" i="4" s="1"/>
  <c r="O30" i="4" s="1"/>
  <c r="O31" i="4" s="1"/>
  <c r="O32" i="4" s="1"/>
  <c r="O33" i="4" s="1"/>
  <c r="O34" i="4" s="1"/>
  <c r="O35" i="4" s="1"/>
  <c r="O36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2" i="4"/>
  <c r="E2" i="4"/>
  <c r="E3" i="4" s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2" i="4"/>
  <c r="I3" i="3"/>
  <c r="J3" i="3" s="1"/>
  <c r="H3" i="3"/>
  <c r="G3" i="3"/>
  <c r="E4" i="3"/>
  <c r="E6" i="3"/>
  <c r="G6" i="3" s="1"/>
  <c r="H6" i="3" s="1"/>
  <c r="I6" i="3" s="1"/>
  <c r="J6" i="3" s="1"/>
  <c r="E7" i="3"/>
  <c r="G7" i="3" s="1"/>
  <c r="H7" i="3" s="1"/>
  <c r="I7" i="3" s="1"/>
  <c r="J7" i="3" s="1"/>
  <c r="E12" i="3"/>
  <c r="G12" i="3" s="1"/>
  <c r="H12" i="3" s="1"/>
  <c r="I12" i="3" s="1"/>
  <c r="J12" i="3" s="1"/>
  <c r="E14" i="3"/>
  <c r="G14" i="3" s="1"/>
  <c r="H14" i="3" s="1"/>
  <c r="I14" i="3" s="1"/>
  <c r="J14" i="3" s="1"/>
  <c r="E15" i="3"/>
  <c r="G15" i="3" s="1"/>
  <c r="H15" i="3" s="1"/>
  <c r="I15" i="3" s="1"/>
  <c r="J15" i="3" s="1"/>
  <c r="E20" i="3"/>
  <c r="G20" i="3" s="1"/>
  <c r="H20" i="3" s="1"/>
  <c r="I20" i="3" s="1"/>
  <c r="J20" i="3" s="1"/>
  <c r="E3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5" i="3"/>
  <c r="F4" i="3"/>
  <c r="F3" i="3"/>
  <c r="D5" i="3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E37" i="3" s="1"/>
  <c r="G37" i="3" s="1"/>
  <c r="H37" i="3" s="1"/>
  <c r="I37" i="3" s="1"/>
  <c r="J37" i="3" s="1"/>
  <c r="F4" i="2"/>
  <c r="F5" i="2"/>
  <c r="F6" i="2"/>
  <c r="F7" i="2"/>
  <c r="F8" i="2"/>
  <c r="F3" i="2"/>
  <c r="E4" i="2"/>
  <c r="E5" i="2"/>
  <c r="E6" i="2"/>
  <c r="E7" i="2"/>
  <c r="E8" i="2"/>
  <c r="E3" i="2"/>
  <c r="B17" i="5" l="1"/>
  <c r="D9" i="5"/>
  <c r="D22" i="6"/>
  <c r="D14" i="6"/>
  <c r="B57" i="5"/>
  <c r="H57" i="5" s="1"/>
  <c r="B36" i="5"/>
  <c r="H36" i="5" s="1"/>
  <c r="B14" i="5"/>
  <c r="D7" i="5"/>
  <c r="B54" i="5"/>
  <c r="H54" i="5" s="1"/>
  <c r="B33" i="5"/>
  <c r="H33" i="5" s="1"/>
  <c r="B12" i="5"/>
  <c r="D4" i="5"/>
  <c r="B52" i="5"/>
  <c r="H52" i="5" s="1"/>
  <c r="B30" i="5"/>
  <c r="B9" i="5"/>
  <c r="B49" i="5"/>
  <c r="H49" i="5" s="1"/>
  <c r="B28" i="5"/>
  <c r="B6" i="5"/>
  <c r="B46" i="5"/>
  <c r="H46" i="5" s="1"/>
  <c r="B25" i="5"/>
  <c r="B4" i="5"/>
  <c r="D2" i="9" a="1"/>
  <c r="D2" i="9" s="1"/>
  <c r="K2" i="9" s="1"/>
  <c r="B44" i="5"/>
  <c r="H44" i="5" s="1"/>
  <c r="B22" i="5"/>
  <c r="D15" i="5"/>
  <c r="D2" i="5"/>
  <c r="B41" i="5"/>
  <c r="H41" i="5" s="1"/>
  <c r="B20" i="5"/>
  <c r="D12" i="5"/>
  <c r="D38" i="6"/>
  <c r="D37" i="6"/>
  <c r="D45" i="6"/>
  <c r="C27" i="5"/>
  <c r="C19" i="5"/>
  <c r="C11" i="5"/>
  <c r="C3" i="5"/>
  <c r="B61" i="5"/>
  <c r="H61" i="5" s="1"/>
  <c r="B53" i="5"/>
  <c r="H53" i="5" s="1"/>
  <c r="B45" i="5"/>
  <c r="H45" i="5" s="1"/>
  <c r="B37" i="5"/>
  <c r="H37" i="5" s="1"/>
  <c r="B29" i="5"/>
  <c r="B21" i="5"/>
  <c r="B13" i="5"/>
  <c r="B5" i="5"/>
  <c r="C26" i="5"/>
  <c r="C18" i="5"/>
  <c r="C10" i="5"/>
  <c r="H10" i="5" s="1"/>
  <c r="D16" i="5"/>
  <c r="D8" i="5"/>
  <c r="D21" i="6"/>
  <c r="H4" i="5"/>
  <c r="C25" i="5"/>
  <c r="C17" i="5"/>
  <c r="C9" i="5"/>
  <c r="B59" i="5"/>
  <c r="H59" i="5" s="1"/>
  <c r="B51" i="5"/>
  <c r="H51" i="5" s="1"/>
  <c r="B43" i="5"/>
  <c r="H43" i="5" s="1"/>
  <c r="B35" i="5"/>
  <c r="H35" i="5" s="1"/>
  <c r="B27" i="5"/>
  <c r="B19" i="5"/>
  <c r="B11" i="5"/>
  <c r="B3" i="5"/>
  <c r="C24" i="5"/>
  <c r="C16" i="5"/>
  <c r="C8" i="5"/>
  <c r="D14" i="5"/>
  <c r="D6" i="5"/>
  <c r="D13" i="6"/>
  <c r="B58" i="5"/>
  <c r="H58" i="5" s="1"/>
  <c r="B50" i="5"/>
  <c r="H50" i="5" s="1"/>
  <c r="B42" i="5"/>
  <c r="H42" i="5" s="1"/>
  <c r="B34" i="5"/>
  <c r="H34" i="5" s="1"/>
  <c r="B26" i="5"/>
  <c r="B18" i="5"/>
  <c r="B10" i="5"/>
  <c r="C31" i="5"/>
  <c r="C23" i="5"/>
  <c r="C15" i="5"/>
  <c r="C7" i="5"/>
  <c r="D13" i="5"/>
  <c r="D5" i="5"/>
  <c r="C14" i="5"/>
  <c r="B2" i="5"/>
  <c r="B56" i="5"/>
  <c r="H56" i="5" s="1"/>
  <c r="B48" i="5"/>
  <c r="H48" i="5" s="1"/>
  <c r="B40" i="5"/>
  <c r="H40" i="5" s="1"/>
  <c r="B32" i="5"/>
  <c r="H32" i="5" s="1"/>
  <c r="B24" i="5"/>
  <c r="B16" i="5"/>
  <c r="B8" i="5"/>
  <c r="C29" i="5"/>
  <c r="C21" i="5"/>
  <c r="C13" i="5"/>
  <c r="C5" i="5"/>
  <c r="D11" i="5"/>
  <c r="D3" i="5"/>
  <c r="C30" i="5"/>
  <c r="H30" i="5" s="1"/>
  <c r="C22" i="5"/>
  <c r="C6" i="5"/>
  <c r="C2" i="5"/>
  <c r="B55" i="5"/>
  <c r="H55" i="5" s="1"/>
  <c r="B47" i="5"/>
  <c r="H47" i="5" s="1"/>
  <c r="B39" i="5"/>
  <c r="H39" i="5" s="1"/>
  <c r="B31" i="5"/>
  <c r="B23" i="5"/>
  <c r="B15" i="5"/>
  <c r="C28" i="5"/>
  <c r="H28" i="5" s="1"/>
  <c r="C20" i="5"/>
  <c r="H20" i="5" s="1"/>
  <c r="C12" i="5"/>
  <c r="D11" i="7"/>
  <c r="D19" i="7"/>
  <c r="D12" i="7"/>
  <c r="D20" i="7"/>
  <c r="D13" i="7"/>
  <c r="D21" i="7"/>
  <c r="D14" i="7"/>
  <c r="D22" i="7"/>
  <c r="E7" i="7"/>
  <c r="D15" i="7"/>
  <c r="D7" i="7"/>
  <c r="C7" i="7" s="1"/>
  <c r="D8" i="7"/>
  <c r="D16" i="7"/>
  <c r="D18" i="7"/>
  <c r="D9" i="7"/>
  <c r="D17" i="7"/>
  <c r="D10" i="7"/>
  <c r="D20" i="6"/>
  <c r="D12" i="6"/>
  <c r="D44" i="6"/>
  <c r="D36" i="6"/>
  <c r="E31" i="6"/>
  <c r="D19" i="6"/>
  <c r="D11" i="6"/>
  <c r="D43" i="6"/>
  <c r="D35" i="6"/>
  <c r="H25" i="5"/>
  <c r="D18" i="6"/>
  <c r="D10" i="6"/>
  <c r="D42" i="6"/>
  <c r="D34" i="6"/>
  <c r="H2" i="5"/>
  <c r="H8" i="5"/>
  <c r="D17" i="6"/>
  <c r="D9" i="6"/>
  <c r="D41" i="6"/>
  <c r="D33" i="6"/>
  <c r="D16" i="6"/>
  <c r="D8" i="6"/>
  <c r="D40" i="6"/>
  <c r="D32" i="6"/>
  <c r="D7" i="6"/>
  <c r="F7" i="6" s="1"/>
  <c r="C7" i="6" s="1"/>
  <c r="D15" i="6"/>
  <c r="D31" i="6"/>
  <c r="F31" i="6" s="1"/>
  <c r="D39" i="6"/>
  <c r="D46" i="6"/>
  <c r="E33" i="3"/>
  <c r="G33" i="3" s="1"/>
  <c r="H33" i="3" s="1"/>
  <c r="I33" i="3" s="1"/>
  <c r="J33" i="3" s="1"/>
  <c r="E25" i="3"/>
  <c r="G25" i="3" s="1"/>
  <c r="H25" i="3" s="1"/>
  <c r="I25" i="3" s="1"/>
  <c r="J25" i="3" s="1"/>
  <c r="E17" i="3"/>
  <c r="G17" i="3" s="1"/>
  <c r="H17" i="3" s="1"/>
  <c r="I17" i="3" s="1"/>
  <c r="J17" i="3" s="1"/>
  <c r="E9" i="3"/>
  <c r="G9" i="3" s="1"/>
  <c r="H9" i="3" s="1"/>
  <c r="I9" i="3" s="1"/>
  <c r="J9" i="3" s="1"/>
  <c r="G4" i="3"/>
  <c r="H4" i="3" s="1"/>
  <c r="I4" i="3" s="1"/>
  <c r="J4" i="3" s="1"/>
  <c r="E36" i="3"/>
  <c r="G36" i="3" s="1"/>
  <c r="H36" i="3" s="1"/>
  <c r="I36" i="3" s="1"/>
  <c r="J36" i="3" s="1"/>
  <c r="E28" i="3"/>
  <c r="G28" i="3" s="1"/>
  <c r="H28" i="3" s="1"/>
  <c r="I28" i="3" s="1"/>
  <c r="J28" i="3" s="1"/>
  <c r="E35" i="3"/>
  <c r="G35" i="3" s="1"/>
  <c r="H35" i="3" s="1"/>
  <c r="I35" i="3" s="1"/>
  <c r="J35" i="3" s="1"/>
  <c r="E27" i="3"/>
  <c r="G27" i="3" s="1"/>
  <c r="H27" i="3" s="1"/>
  <c r="I27" i="3" s="1"/>
  <c r="J27" i="3" s="1"/>
  <c r="E19" i="3"/>
  <c r="G19" i="3" s="1"/>
  <c r="H19" i="3" s="1"/>
  <c r="I19" i="3" s="1"/>
  <c r="J19" i="3" s="1"/>
  <c r="E11" i="3"/>
  <c r="G11" i="3" s="1"/>
  <c r="H11" i="3" s="1"/>
  <c r="I11" i="3" s="1"/>
  <c r="J11" i="3" s="1"/>
  <c r="E32" i="3"/>
  <c r="G32" i="3" s="1"/>
  <c r="H32" i="3" s="1"/>
  <c r="I32" i="3" s="1"/>
  <c r="J32" i="3" s="1"/>
  <c r="E24" i="3"/>
  <c r="G24" i="3" s="1"/>
  <c r="H24" i="3" s="1"/>
  <c r="I24" i="3" s="1"/>
  <c r="J24" i="3" s="1"/>
  <c r="E16" i="3"/>
  <c r="G16" i="3" s="1"/>
  <c r="H16" i="3" s="1"/>
  <c r="I16" i="3" s="1"/>
  <c r="J16" i="3" s="1"/>
  <c r="E8" i="3"/>
  <c r="G8" i="3" s="1"/>
  <c r="H8" i="3" s="1"/>
  <c r="I8" i="3" s="1"/>
  <c r="J8" i="3" s="1"/>
  <c r="E31" i="3"/>
  <c r="G31" i="3" s="1"/>
  <c r="H31" i="3" s="1"/>
  <c r="I31" i="3" s="1"/>
  <c r="J31" i="3" s="1"/>
  <c r="E23" i="3"/>
  <c r="G23" i="3" s="1"/>
  <c r="H23" i="3" s="1"/>
  <c r="I23" i="3" s="1"/>
  <c r="J23" i="3" s="1"/>
  <c r="E30" i="3"/>
  <c r="G30" i="3" s="1"/>
  <c r="H30" i="3" s="1"/>
  <c r="I30" i="3" s="1"/>
  <c r="J30" i="3" s="1"/>
  <c r="E22" i="3"/>
  <c r="G22" i="3" s="1"/>
  <c r="H22" i="3" s="1"/>
  <c r="I22" i="3" s="1"/>
  <c r="J22" i="3" s="1"/>
  <c r="E29" i="3"/>
  <c r="G29" i="3" s="1"/>
  <c r="H29" i="3" s="1"/>
  <c r="I29" i="3" s="1"/>
  <c r="J29" i="3" s="1"/>
  <c r="E21" i="3"/>
  <c r="G21" i="3" s="1"/>
  <c r="H21" i="3" s="1"/>
  <c r="I21" i="3" s="1"/>
  <c r="J21" i="3" s="1"/>
  <c r="E13" i="3"/>
  <c r="G13" i="3" s="1"/>
  <c r="H13" i="3" s="1"/>
  <c r="I13" i="3" s="1"/>
  <c r="J13" i="3" s="1"/>
  <c r="E5" i="3"/>
  <c r="G5" i="3" s="1"/>
  <c r="H5" i="3" s="1"/>
  <c r="I5" i="3" s="1"/>
  <c r="J5" i="3" s="1"/>
  <c r="E34" i="3"/>
  <c r="G34" i="3" s="1"/>
  <c r="H34" i="3" s="1"/>
  <c r="I34" i="3" s="1"/>
  <c r="J34" i="3" s="1"/>
  <c r="E26" i="3"/>
  <c r="G26" i="3" s="1"/>
  <c r="H26" i="3" s="1"/>
  <c r="I26" i="3" s="1"/>
  <c r="J26" i="3" s="1"/>
  <c r="E18" i="3"/>
  <c r="G18" i="3" s="1"/>
  <c r="H18" i="3" s="1"/>
  <c r="I18" i="3" s="1"/>
  <c r="J18" i="3" s="1"/>
  <c r="E10" i="3"/>
  <c r="G10" i="3" s="1"/>
  <c r="H10" i="3" s="1"/>
  <c r="I10" i="3" s="1"/>
  <c r="J10" i="3" s="1"/>
  <c r="K7" i="9"/>
  <c r="L7" i="9" s="1"/>
  <c r="L2" i="9"/>
  <c r="M2" i="9" s="1"/>
  <c r="K6" i="9"/>
  <c r="K5" i="9"/>
  <c r="K4" i="9"/>
  <c r="K3" i="9"/>
  <c r="F2" i="4"/>
  <c r="F9" i="2"/>
  <c r="E4" i="4"/>
  <c r="E5" i="4" s="1"/>
  <c r="E6" i="4" s="1"/>
  <c r="E7" i="4" s="1"/>
  <c r="E8" i="4" s="1"/>
  <c r="E9" i="4" s="1"/>
  <c r="E10" i="4" s="1"/>
  <c r="E11" i="4" s="1"/>
  <c r="F3" i="4"/>
  <c r="H7" i="5" l="1"/>
  <c r="H9" i="5"/>
  <c r="H3" i="5"/>
  <c r="F7" i="7"/>
  <c r="H22" i="5"/>
  <c r="H26" i="5"/>
  <c r="H11" i="5"/>
  <c r="H17" i="5"/>
  <c r="H14" i="5"/>
  <c r="H18" i="5"/>
  <c r="H6" i="5"/>
  <c r="H27" i="5"/>
  <c r="H24" i="5"/>
  <c r="H16" i="5"/>
  <c r="H15" i="5"/>
  <c r="H12" i="5"/>
  <c r="H19" i="5"/>
  <c r="H29" i="5"/>
  <c r="H23" i="5"/>
  <c r="H5" i="5"/>
  <c r="H31" i="5"/>
  <c r="H13" i="5"/>
  <c r="H21" i="5"/>
  <c r="E8" i="6"/>
  <c r="F8" i="6"/>
  <c r="C8" i="6" s="1"/>
  <c r="E9" i="6" s="1"/>
  <c r="F9" i="6" s="1"/>
  <c r="C9" i="6" s="1"/>
  <c r="E10" i="6" s="1"/>
  <c r="F10" i="6" s="1"/>
  <c r="C10" i="6" s="1"/>
  <c r="C8" i="7"/>
  <c r="E8" i="7"/>
  <c r="C31" i="6"/>
  <c r="E8" i="9" a="1"/>
  <c r="H2" i="4" a="1"/>
  <c r="M7" i="9"/>
  <c r="L5" i="9"/>
  <c r="M5" i="9" s="1"/>
  <c r="L6" i="9"/>
  <c r="M6" i="9"/>
  <c r="L3" i="9"/>
  <c r="M3" i="9" s="1"/>
  <c r="L4" i="9"/>
  <c r="M4" i="9" s="1"/>
  <c r="F8" i="4"/>
  <c r="F4" i="4"/>
  <c r="F9" i="4"/>
  <c r="F5" i="4"/>
  <c r="E12" i="4"/>
  <c r="F11" i="4"/>
  <c r="F7" i="4"/>
  <c r="F10" i="4"/>
  <c r="F6" i="4"/>
  <c r="H8" i="9" l="1" a="1"/>
  <c r="H8" i="9" s="1"/>
  <c r="E11" i="6"/>
  <c r="F11" i="6" s="1"/>
  <c r="C11" i="6" s="1"/>
  <c r="E12" i="6" s="1"/>
  <c r="F12" i="6" s="1"/>
  <c r="C12" i="6" s="1"/>
  <c r="E32" i="6"/>
  <c r="C32" i="6"/>
  <c r="C9" i="7"/>
  <c r="E9" i="7"/>
  <c r="F8" i="7"/>
  <c r="H2" i="4"/>
  <c r="J2" i="4" s="1"/>
  <c r="K2" i="4" s="1"/>
  <c r="Q2" i="4" s="1"/>
  <c r="J19" i="4"/>
  <c r="K19" i="4" s="1"/>
  <c r="J32" i="4"/>
  <c r="K32" i="4" s="1"/>
  <c r="J34" i="4"/>
  <c r="K34" i="4" s="1"/>
  <c r="J29" i="4"/>
  <c r="K29" i="4" s="1"/>
  <c r="J11" i="4"/>
  <c r="K11" i="4" s="1"/>
  <c r="J24" i="4"/>
  <c r="K24" i="4" s="1"/>
  <c r="J10" i="4"/>
  <c r="K10" i="4" s="1"/>
  <c r="J21" i="4"/>
  <c r="K21" i="4" s="1"/>
  <c r="J28" i="4"/>
  <c r="K28" i="4" s="1"/>
  <c r="J3" i="4"/>
  <c r="K3" i="4" s="1"/>
  <c r="Q3" i="4" s="1"/>
  <c r="J16" i="4"/>
  <c r="K16" i="4" s="1"/>
  <c r="J30" i="4"/>
  <c r="K30" i="4" s="1"/>
  <c r="J13" i="4"/>
  <c r="K13" i="4" s="1"/>
  <c r="J4" i="4"/>
  <c r="K4" i="4" s="1"/>
  <c r="Q4" i="4" s="1"/>
  <c r="J23" i="4"/>
  <c r="K23" i="4" s="1"/>
  <c r="J6" i="4"/>
  <c r="K6" i="4" s="1"/>
  <c r="Q6" i="4" s="1"/>
  <c r="J9" i="4"/>
  <c r="K9" i="4" s="1"/>
  <c r="J27" i="4"/>
  <c r="K27" i="4" s="1"/>
  <c r="J26" i="4"/>
  <c r="K26" i="4" s="1"/>
  <c r="J36" i="4"/>
  <c r="K36" i="4" s="1"/>
  <c r="J17" i="4"/>
  <c r="K17" i="4" s="1"/>
  <c r="J35" i="4"/>
  <c r="K35" i="4" s="1"/>
  <c r="J15" i="4"/>
  <c r="K15" i="4" s="1"/>
  <c r="J18" i="4"/>
  <c r="K18" i="4" s="1"/>
  <c r="J7" i="4"/>
  <c r="K7" i="4" s="1"/>
  <c r="J20" i="4"/>
  <c r="K20" i="4" s="1"/>
  <c r="J33" i="4"/>
  <c r="K33" i="4" s="1"/>
  <c r="J8" i="4"/>
  <c r="K8" i="4" s="1"/>
  <c r="J22" i="4"/>
  <c r="K22" i="4" s="1"/>
  <c r="J5" i="4"/>
  <c r="K5" i="4" s="1"/>
  <c r="Q5" i="4" s="1"/>
  <c r="J12" i="4"/>
  <c r="K12" i="4" s="1"/>
  <c r="J25" i="4"/>
  <c r="K25" i="4" s="1"/>
  <c r="J31" i="4"/>
  <c r="K31" i="4" s="1"/>
  <c r="J14" i="4"/>
  <c r="K14" i="4" s="1"/>
  <c r="E8" i="9"/>
  <c r="F9" i="7"/>
  <c r="E13" i="4"/>
  <c r="F12" i="4"/>
  <c r="C10" i="7" l="1"/>
  <c r="E10" i="7"/>
  <c r="E33" i="6"/>
  <c r="F33" i="6" s="1"/>
  <c r="C33" i="6"/>
  <c r="F32" i="6"/>
  <c r="F10" i="7"/>
  <c r="E13" i="6"/>
  <c r="F13" i="6" s="1"/>
  <c r="C13" i="6" s="1"/>
  <c r="Q7" i="4"/>
  <c r="E14" i="4"/>
  <c r="F13" i="4"/>
  <c r="C34" i="6" l="1"/>
  <c r="E34" i="6"/>
  <c r="C11" i="7"/>
  <c r="E11" i="7"/>
  <c r="F11" i="7" s="1"/>
  <c r="E14" i="6"/>
  <c r="F14" i="6" s="1"/>
  <c r="C14" i="6" s="1"/>
  <c r="Q8" i="4"/>
  <c r="E15" i="4"/>
  <c r="F14" i="4"/>
  <c r="C12" i="7" l="1"/>
  <c r="E12" i="7"/>
  <c r="F34" i="6"/>
  <c r="C35" i="6"/>
  <c r="E35" i="6"/>
  <c r="F35" i="6" s="1"/>
  <c r="F12" i="7"/>
  <c r="E15" i="6"/>
  <c r="F15" i="6" s="1"/>
  <c r="C15" i="6" s="1"/>
  <c r="Q9" i="4"/>
  <c r="E16" i="4"/>
  <c r="F15" i="4"/>
  <c r="C36" i="6" l="1"/>
  <c r="E36" i="6"/>
  <c r="C13" i="7"/>
  <c r="E13" i="7"/>
  <c r="F13" i="7" s="1"/>
  <c r="E16" i="6"/>
  <c r="F16" i="6" s="1"/>
  <c r="C16" i="6" s="1"/>
  <c r="Q10" i="4"/>
  <c r="E17" i="4"/>
  <c r="F16" i="4"/>
  <c r="F36" i="6" l="1"/>
  <c r="C14" i="7"/>
  <c r="E14" i="7"/>
  <c r="C37" i="6"/>
  <c r="E37" i="6"/>
  <c r="F37" i="6" s="1"/>
  <c r="F14" i="7"/>
  <c r="E17" i="6"/>
  <c r="F17" i="6" s="1"/>
  <c r="C17" i="6" s="1"/>
  <c r="Q11" i="4"/>
  <c r="E18" i="4"/>
  <c r="F17" i="4"/>
  <c r="C38" i="6" l="1"/>
  <c r="E38" i="6"/>
  <c r="F38" i="6" s="1"/>
  <c r="C15" i="7"/>
  <c r="E15" i="7"/>
  <c r="F15" i="7" s="1"/>
  <c r="E18" i="6"/>
  <c r="F18" i="6" s="1"/>
  <c r="C18" i="6" s="1"/>
  <c r="Q12" i="4"/>
  <c r="E19" i="4"/>
  <c r="F18" i="4"/>
  <c r="C16" i="7" l="1"/>
  <c r="E16" i="7"/>
  <c r="F16" i="7" s="1"/>
  <c r="C39" i="6"/>
  <c r="E39" i="6"/>
  <c r="F39" i="6" s="1"/>
  <c r="E19" i="6"/>
  <c r="F19" i="6" s="1"/>
  <c r="C19" i="6" s="1"/>
  <c r="Q13" i="4"/>
  <c r="E20" i="4"/>
  <c r="F19" i="4"/>
  <c r="C40" i="6" l="1"/>
  <c r="E40" i="6"/>
  <c r="F40" i="6" s="1"/>
  <c r="C17" i="7"/>
  <c r="E17" i="7"/>
  <c r="F17" i="7" s="1"/>
  <c r="E20" i="6"/>
  <c r="F20" i="6" s="1"/>
  <c r="C20" i="6" s="1"/>
  <c r="Q14" i="4"/>
  <c r="E21" i="4"/>
  <c r="F20" i="4"/>
  <c r="C18" i="7" l="1"/>
  <c r="E18" i="7"/>
  <c r="F18" i="7" s="1"/>
  <c r="C41" i="6"/>
  <c r="E41" i="6"/>
  <c r="F41" i="6" s="1"/>
  <c r="E21" i="6"/>
  <c r="F21" i="6" s="1"/>
  <c r="C21" i="6" s="1"/>
  <c r="Q15" i="4"/>
  <c r="E22" i="4"/>
  <c r="F21" i="4"/>
  <c r="C42" i="6" l="1"/>
  <c r="E42" i="6"/>
  <c r="F42" i="6" s="1"/>
  <c r="C19" i="7"/>
  <c r="E19" i="7"/>
  <c r="F19" i="7" s="1"/>
  <c r="E22" i="6"/>
  <c r="F22" i="6" s="1"/>
  <c r="C22" i="6" s="1"/>
  <c r="Q16" i="4"/>
  <c r="E23" i="4"/>
  <c r="F22" i="4"/>
  <c r="C20" i="7" l="1"/>
  <c r="E20" i="7"/>
  <c r="C43" i="6"/>
  <c r="E43" i="6"/>
  <c r="F43" i="6" s="1"/>
  <c r="F20" i="7"/>
  <c r="Q17" i="4"/>
  <c r="E24" i="4"/>
  <c r="F23" i="4"/>
  <c r="C44" i="6" l="1"/>
  <c r="E44" i="6"/>
  <c r="F44" i="6" s="1"/>
  <c r="C21" i="7"/>
  <c r="E21" i="7"/>
  <c r="F21" i="7" s="1"/>
  <c r="Q18" i="4"/>
  <c r="E25" i="4"/>
  <c r="F24" i="4"/>
  <c r="C22" i="7" l="1"/>
  <c r="E22" i="7"/>
  <c r="J12" i="9" s="1" a="1"/>
  <c r="J12" i="9" s="1"/>
  <c r="C45" i="6"/>
  <c r="E45" i="6"/>
  <c r="F45" i="6" s="1"/>
  <c r="F22" i="7"/>
  <c r="Q19" i="4"/>
  <c r="E26" i="4"/>
  <c r="F25" i="4"/>
  <c r="F12" i="10" l="1" a="1"/>
  <c r="F12" i="10" s="1"/>
  <c r="F12" i="11" a="1"/>
  <c r="F12" i="11" s="1"/>
  <c r="C46" i="6"/>
  <c r="E46" i="6"/>
  <c r="Q20" i="4"/>
  <c r="E27" i="4"/>
  <c r="F26" i="4"/>
  <c r="F46" i="6" l="1"/>
  <c r="I12" i="9" a="1"/>
  <c r="I12" i="9" s="1"/>
  <c r="Q21" i="4"/>
  <c r="E28" i="4"/>
  <c r="F27" i="4"/>
  <c r="E12" i="10" l="1" a="1"/>
  <c r="E12" i="11" a="1"/>
  <c r="E12" i="11" s="1"/>
  <c r="E12" i="10"/>
  <c r="Q22" i="4"/>
  <c r="E29" i="4"/>
  <c r="F28" i="4"/>
  <c r="Q23" i="4" l="1"/>
  <c r="E30" i="4"/>
  <c r="F29" i="4"/>
  <c r="Q24" i="4" l="1"/>
  <c r="E31" i="4"/>
  <c r="F30" i="4"/>
  <c r="Q25" i="4" l="1"/>
  <c r="E32" i="4"/>
  <c r="F31" i="4"/>
  <c r="Q26" i="4" l="1"/>
  <c r="E33" i="4"/>
  <c r="F32" i="4"/>
  <c r="Q27" i="4" l="1"/>
  <c r="E34" i="4"/>
  <c r="F33" i="4"/>
  <c r="Q28" i="4" l="1"/>
  <c r="E35" i="4"/>
  <c r="F34" i="4"/>
  <c r="Q29" i="4" l="1"/>
  <c r="E36" i="4"/>
  <c r="F36" i="4" s="1"/>
  <c r="F35" i="4"/>
  <c r="Q30" i="4" l="1"/>
  <c r="Q31" i="4" l="1"/>
  <c r="Q32" i="4" l="1"/>
  <c r="Q33" i="4" l="1"/>
  <c r="Q34" i="4" l="1"/>
  <c r="Q36" i="4" l="1"/>
  <c r="Q35" i="4"/>
  <c r="F8" i="9" l="1" a="1"/>
  <c r="F8" i="9" s="1"/>
  <c r="K11" i="9"/>
  <c r="K15" i="9"/>
  <c r="K22" i="9"/>
  <c r="K33" i="9"/>
  <c r="K14" i="9"/>
  <c r="G15" i="9"/>
  <c r="G23" i="9"/>
  <c r="G9" i="9"/>
  <c r="G18" i="9"/>
  <c r="G13" i="9"/>
  <c r="G17" i="9"/>
  <c r="G26" i="9"/>
  <c r="G21" i="9"/>
  <c r="G39" i="9"/>
  <c r="G25" i="9"/>
  <c r="G20" i="9"/>
  <c r="G33" i="9"/>
  <c r="G42" i="9"/>
  <c r="G37" i="9"/>
  <c r="G16" i="9"/>
  <c r="G11" i="9"/>
  <c r="G19" i="9"/>
  <c r="G22" i="9"/>
  <c r="K38" i="9" l="1"/>
  <c r="G31" i="9"/>
  <c r="G24" i="9"/>
  <c r="G29" i="9"/>
  <c r="G14" i="9"/>
  <c r="G36" i="9"/>
  <c r="K42" i="9"/>
  <c r="G28" i="9"/>
  <c r="G30" i="9"/>
  <c r="K37" i="9"/>
  <c r="G34" i="9"/>
  <c r="G12" i="9"/>
  <c r="K17" i="9"/>
  <c r="K19" i="9"/>
  <c r="G27" i="9"/>
  <c r="K16" i="9"/>
  <c r="K29" i="9"/>
  <c r="K12" i="9"/>
  <c r="G38" i="9"/>
  <c r="G32" i="9"/>
  <c r="K24" i="9"/>
  <c r="K9" i="9"/>
  <c r="K21" i="9"/>
  <c r="G41" i="9"/>
  <c r="G35" i="9"/>
  <c r="K10" i="9"/>
  <c r="K39" i="9"/>
  <c r="L39" i="9" s="1"/>
  <c r="M39" i="9" s="1"/>
  <c r="K25" i="9"/>
  <c r="K13" i="9"/>
  <c r="L13" i="9" s="1"/>
  <c r="M13" i="9" s="1"/>
  <c r="K35" i="9"/>
  <c r="G10" i="9"/>
  <c r="K36" i="9"/>
  <c r="K28" i="9"/>
  <c r="K26" i="9"/>
  <c r="K23" i="9"/>
  <c r="L23" i="9" s="1"/>
  <c r="M23" i="9" s="1"/>
  <c r="G40" i="9"/>
  <c r="K40" i="9"/>
  <c r="L40" i="9" s="1"/>
  <c r="M40" i="9" s="1"/>
  <c r="K27" i="9"/>
  <c r="K34" i="9"/>
  <c r="K20" i="9"/>
  <c r="L20" i="9" s="1"/>
  <c r="M20" i="9" s="1"/>
  <c r="K30" i="9"/>
  <c r="K18" i="9"/>
  <c r="L18" i="9" s="1"/>
  <c r="M18" i="9" s="1"/>
  <c r="K31" i="9"/>
  <c r="L31" i="9" s="1"/>
  <c r="M31" i="9" s="1"/>
  <c r="K32" i="9"/>
  <c r="L32" i="9" s="1"/>
  <c r="M32" i="9" s="1"/>
  <c r="K41" i="9"/>
  <c r="L41" i="9" s="1"/>
  <c r="M41" i="9" s="1"/>
  <c r="L25" i="9"/>
  <c r="M25" i="9" s="1"/>
  <c r="L21" i="9"/>
  <c r="M21" i="9" s="1"/>
  <c r="L35" i="9"/>
  <c r="M35" i="9" s="1"/>
  <c r="L17" i="9"/>
  <c r="M17" i="9" s="1"/>
  <c r="L16" i="9"/>
  <c r="M16" i="9" s="1"/>
  <c r="L11" i="9"/>
  <c r="M11" i="9" s="1"/>
  <c r="L36" i="9"/>
  <c r="M36" i="9" s="1"/>
  <c r="L22" i="9"/>
  <c r="M22" i="9" s="1"/>
  <c r="L38" i="9"/>
  <c r="M38" i="9" s="1"/>
  <c r="L29" i="9"/>
  <c r="M29" i="9" s="1"/>
  <c r="L33" i="9"/>
  <c r="M33" i="9" s="1"/>
  <c r="L15" i="9"/>
  <c r="M15" i="9" s="1"/>
  <c r="L42" i="9"/>
  <c r="M42" i="9" s="1"/>
  <c r="L26" i="9"/>
  <c r="M26" i="9" s="1"/>
  <c r="L14" i="9"/>
  <c r="M14" i="9" s="1"/>
  <c r="L12" i="9"/>
  <c r="M12" i="9" s="1"/>
  <c r="L28" i="9"/>
  <c r="M28" i="9" s="1"/>
  <c r="L27" i="9"/>
  <c r="M27" i="9" s="1"/>
  <c r="L34" i="9"/>
  <c r="M34" i="9" s="1"/>
  <c r="L30" i="9"/>
  <c r="M30" i="9" s="1"/>
  <c r="L24" i="9"/>
  <c r="M24" i="9" s="1"/>
  <c r="L9" i="9"/>
  <c r="M9" i="9" s="1"/>
  <c r="L37" i="9"/>
  <c r="M37" i="9" s="1"/>
  <c r="L10" i="9"/>
  <c r="M10" i="9" s="1"/>
  <c r="L19" i="9"/>
  <c r="M19" i="9" s="1"/>
  <c r="G8" i="9"/>
  <c r="K8" i="9"/>
  <c r="L8" i="9" s="1"/>
  <c r="M8" i="9" l="1"/>
  <c r="H2" i="11" a="1"/>
  <c r="H2" i="11" s="1"/>
  <c r="H2" i="10" a="1"/>
  <c r="H2" i="10" s="1"/>
  <c r="D2" i="11" a="1"/>
  <c r="D2" i="10" a="1"/>
  <c r="C1" i="8" a="1"/>
  <c r="D2" i="10" l="1"/>
  <c r="I2" i="10" s="1"/>
  <c r="I3" i="10"/>
  <c r="I4" i="10"/>
  <c r="I5" i="10"/>
  <c r="I6" i="10"/>
  <c r="I7" i="10"/>
  <c r="I9" i="10"/>
  <c r="I10" i="10"/>
  <c r="I11" i="10"/>
  <c r="I8" i="10"/>
  <c r="I26" i="10"/>
  <c r="I14" i="10"/>
  <c r="I21" i="10"/>
  <c r="I13" i="10"/>
  <c r="I17" i="10"/>
  <c r="I18" i="10"/>
  <c r="I20" i="10"/>
  <c r="I27" i="10"/>
  <c r="I19" i="10"/>
  <c r="I23" i="10"/>
  <c r="I25" i="10"/>
  <c r="I24" i="10"/>
  <c r="I15" i="10"/>
  <c r="I16" i="10"/>
  <c r="I22" i="10"/>
  <c r="I12" i="10"/>
  <c r="I6" i="11"/>
  <c r="I7" i="11"/>
  <c r="I19" i="11"/>
  <c r="I27" i="11"/>
  <c r="I41" i="11"/>
  <c r="I8" i="11"/>
  <c r="I12" i="11"/>
  <c r="I20" i="11"/>
  <c r="I10" i="11"/>
  <c r="I14" i="11"/>
  <c r="I22" i="11"/>
  <c r="I42" i="11"/>
  <c r="I9" i="11"/>
  <c r="I13" i="11"/>
  <c r="I21" i="11"/>
  <c r="I3" i="11"/>
  <c r="I11" i="11"/>
  <c r="I15" i="11"/>
  <c r="I23" i="11"/>
  <c r="I16" i="11"/>
  <c r="I24" i="11"/>
  <c r="I4" i="11"/>
  <c r="D2" i="11"/>
  <c r="I2" i="11" s="1"/>
  <c r="I5" i="11"/>
  <c r="I17" i="11"/>
  <c r="I25" i="11"/>
  <c r="I18" i="11"/>
  <c r="I26" i="11"/>
  <c r="D41" i="8"/>
  <c r="D42" i="8"/>
  <c r="D34" i="8"/>
  <c r="D35" i="8"/>
  <c r="D40" i="8"/>
  <c r="D37" i="8"/>
  <c r="D29" i="8"/>
  <c r="D39" i="8"/>
  <c r="C1" i="8"/>
  <c r="D31" i="8"/>
  <c r="D38" i="8"/>
  <c r="D33" i="8"/>
  <c r="D36" i="8"/>
  <c r="D28" i="8"/>
  <c r="E2" i="8"/>
  <c r="E3" i="8" s="1"/>
  <c r="F3" i="8" s="1"/>
  <c r="D30" i="8"/>
  <c r="D32" i="8"/>
  <c r="M26" i="11" l="1"/>
  <c r="L26" i="11"/>
  <c r="M18" i="11"/>
  <c r="L18" i="11"/>
  <c r="M25" i="11"/>
  <c r="L25" i="11"/>
  <c r="M17" i="11"/>
  <c r="L17" i="11"/>
  <c r="M5" i="11"/>
  <c r="L5" i="11"/>
  <c r="M2" i="11"/>
  <c r="L2" i="11"/>
  <c r="M4" i="11"/>
  <c r="L4" i="11"/>
  <c r="M24" i="11"/>
  <c r="L24" i="11"/>
  <c r="M16" i="11"/>
  <c r="L16" i="11"/>
  <c r="M23" i="11"/>
  <c r="L23" i="11"/>
  <c r="M15" i="11"/>
  <c r="L15" i="11"/>
  <c r="M11" i="11"/>
  <c r="L11" i="11"/>
  <c r="M3" i="11"/>
  <c r="L3" i="11"/>
  <c r="M21" i="11"/>
  <c r="L21" i="11"/>
  <c r="M13" i="11"/>
  <c r="L13" i="11"/>
  <c r="M9" i="11"/>
  <c r="L9" i="11"/>
  <c r="M42" i="11"/>
  <c r="L42" i="11"/>
  <c r="M22" i="11"/>
  <c r="L22" i="11"/>
  <c r="M14" i="11"/>
  <c r="L14" i="11"/>
  <c r="M10" i="11"/>
  <c r="L10" i="11"/>
  <c r="M20" i="11"/>
  <c r="L20" i="11"/>
  <c r="M12" i="11"/>
  <c r="L12" i="11"/>
  <c r="M8" i="11"/>
  <c r="L8" i="11"/>
  <c r="M41" i="11"/>
  <c r="L41" i="11"/>
  <c r="M27" i="11"/>
  <c r="L27" i="11"/>
  <c r="M19" i="11"/>
  <c r="L19" i="11"/>
  <c r="M7" i="11"/>
  <c r="L7" i="11"/>
  <c r="M6" i="11"/>
  <c r="L6" i="11"/>
  <c r="M12" i="10"/>
  <c r="L12" i="10"/>
  <c r="M22" i="10"/>
  <c r="L22" i="10"/>
  <c r="M16" i="10"/>
  <c r="L16" i="10"/>
  <c r="M15" i="10"/>
  <c r="L15" i="10"/>
  <c r="M24" i="10"/>
  <c r="L24" i="10"/>
  <c r="M25" i="10"/>
  <c r="L25" i="10"/>
  <c r="M23" i="10"/>
  <c r="L23" i="10"/>
  <c r="M19" i="10"/>
  <c r="L19" i="10"/>
  <c r="M27" i="10"/>
  <c r="L27" i="10"/>
  <c r="M20" i="10"/>
  <c r="L20" i="10"/>
  <c r="M18" i="10"/>
  <c r="L18" i="10"/>
  <c r="M17" i="10"/>
  <c r="L17" i="10"/>
  <c r="M13" i="10"/>
  <c r="L13" i="10"/>
  <c r="M21" i="10"/>
  <c r="L21" i="10"/>
  <c r="M14" i="10"/>
  <c r="L14" i="10"/>
  <c r="M26" i="10"/>
  <c r="L26" i="10"/>
  <c r="M8" i="10"/>
  <c r="L8" i="10"/>
  <c r="M11" i="10"/>
  <c r="L11" i="10"/>
  <c r="M10" i="10"/>
  <c r="L10" i="10"/>
  <c r="M9" i="10"/>
  <c r="L9" i="10"/>
  <c r="M7" i="10"/>
  <c r="L7" i="10"/>
  <c r="M6" i="10"/>
  <c r="L6" i="10"/>
  <c r="M5" i="10"/>
  <c r="L5" i="10"/>
  <c r="M4" i="10"/>
  <c r="L4" i="10"/>
  <c r="M3" i="10"/>
  <c r="L3" i="10"/>
  <c r="M2" i="10"/>
  <c r="L2" i="10"/>
  <c r="G28" i="11" a="1"/>
  <c r="G28" i="10" a="1"/>
  <c r="G28" i="11"/>
  <c r="I28" i="11" s="1"/>
  <c r="I31" i="11"/>
  <c r="I34" i="11"/>
  <c r="I40" i="11"/>
  <c r="I29" i="11"/>
  <c r="I35" i="11"/>
  <c r="I37" i="11"/>
  <c r="I33" i="11"/>
  <c r="I30" i="11"/>
  <c r="I38" i="11"/>
  <c r="I36" i="11"/>
  <c r="I39" i="11"/>
  <c r="I32" i="11"/>
  <c r="N2" i="9" a="1"/>
  <c r="E4" i="8"/>
  <c r="G28" i="10" l="1"/>
  <c r="I41" i="10"/>
  <c r="I42" i="10"/>
  <c r="M37" i="11"/>
  <c r="L37" i="11"/>
  <c r="M38" i="11"/>
  <c r="L38" i="11"/>
  <c r="M33" i="11"/>
  <c r="L33" i="11"/>
  <c r="M29" i="11"/>
  <c r="L29" i="11"/>
  <c r="M35" i="11"/>
  <c r="L35" i="11"/>
  <c r="M32" i="11"/>
  <c r="L32" i="11"/>
  <c r="M39" i="11"/>
  <c r="L39" i="11"/>
  <c r="L40" i="11"/>
  <c r="M40" i="11"/>
  <c r="M36" i="11"/>
  <c r="L36" i="11"/>
  <c r="M34" i="11"/>
  <c r="L34" i="11"/>
  <c r="L31" i="11"/>
  <c r="M31" i="11"/>
  <c r="M30" i="11"/>
  <c r="L30" i="11"/>
  <c r="M28" i="11"/>
  <c r="L28" i="11"/>
  <c r="I38" i="10"/>
  <c r="I37" i="10"/>
  <c r="I36" i="10"/>
  <c r="I32" i="10"/>
  <c r="I39" i="10"/>
  <c r="I35" i="10"/>
  <c r="I30" i="10"/>
  <c r="I29" i="10"/>
  <c r="I34" i="10"/>
  <c r="I40" i="10"/>
  <c r="I33" i="10"/>
  <c r="I31" i="10"/>
  <c r="I28" i="10"/>
  <c r="F4" i="8"/>
  <c r="E5" i="8"/>
  <c r="N2" i="9"/>
  <c r="O39" i="9"/>
  <c r="O32" i="9"/>
  <c r="O35" i="9"/>
  <c r="O33" i="9"/>
  <c r="O11" i="9"/>
  <c r="O38" i="9"/>
  <c r="O29" i="9"/>
  <c r="O25" i="9"/>
  <c r="O9" i="9"/>
  <c r="O16" i="9"/>
  <c r="O13" i="9"/>
  <c r="O18" i="9"/>
  <c r="O26" i="9"/>
  <c r="O8" i="9"/>
  <c r="O40" i="9"/>
  <c r="O36" i="9"/>
  <c r="O37" i="9"/>
  <c r="O12" i="9"/>
  <c r="O14" i="9"/>
  <c r="O22" i="9"/>
  <c r="O23" i="9"/>
  <c r="O19" i="9"/>
  <c r="O10" i="9"/>
  <c r="O42" i="9"/>
  <c r="O15" i="9"/>
  <c r="O24" i="9"/>
  <c r="O34" i="9"/>
  <c r="O30" i="9"/>
  <c r="O41" i="9"/>
  <c r="O17" i="9"/>
  <c r="O20" i="9"/>
  <c r="O31" i="9"/>
  <c r="O27" i="9"/>
  <c r="O28" i="9"/>
  <c r="O21" i="9"/>
  <c r="M42" i="10" l="1"/>
  <c r="L42" i="10"/>
  <c r="L41" i="10"/>
  <c r="M41" i="10"/>
  <c r="M35" i="10"/>
  <c r="L35" i="10"/>
  <c r="M39" i="10"/>
  <c r="L39" i="10"/>
  <c r="L31" i="10"/>
  <c r="M31" i="10"/>
  <c r="L32" i="10"/>
  <c r="M32" i="10"/>
  <c r="M28" i="10"/>
  <c r="L28" i="10"/>
  <c r="L33" i="10"/>
  <c r="M33" i="10"/>
  <c r="M36" i="10"/>
  <c r="L36" i="10"/>
  <c r="L40" i="10"/>
  <c r="M40" i="10"/>
  <c r="M37" i="10"/>
  <c r="L37" i="10"/>
  <c r="M34" i="10"/>
  <c r="L34" i="10"/>
  <c r="M38" i="10"/>
  <c r="L38" i="10"/>
  <c r="M29" i="10"/>
  <c r="L29" i="10"/>
  <c r="L30" i="10"/>
  <c r="M30" i="10"/>
  <c r="E6" i="8"/>
  <c r="F5" i="8"/>
  <c r="F6" i="8" l="1"/>
  <c r="E7" i="8"/>
  <c r="F7" i="8" l="1"/>
  <c r="E8" i="8"/>
  <c r="F8" i="8" l="1"/>
  <c r="E9" i="8"/>
  <c r="F9" i="8" l="1"/>
  <c r="E10" i="8"/>
  <c r="F10" i="8" l="1"/>
  <c r="E11" i="8"/>
  <c r="F11" i="8" l="1"/>
  <c r="E12" i="8"/>
  <c r="F12" i="8" l="1"/>
  <c r="E13" i="8"/>
  <c r="F13" i="8" l="1"/>
  <c r="E14" i="8"/>
  <c r="F14" i="8" l="1"/>
  <c r="E15" i="8"/>
  <c r="F15" i="8" l="1"/>
  <c r="E16" i="8"/>
  <c r="F16" i="8" l="1"/>
  <c r="E17" i="8"/>
  <c r="F17" i="8" l="1"/>
  <c r="E18" i="8"/>
  <c r="F18" i="8" l="1"/>
  <c r="E19" i="8"/>
  <c r="F19" i="8" l="1"/>
  <c r="E20" i="8"/>
  <c r="F20" i="8" l="1"/>
  <c r="E21" i="8"/>
  <c r="F21" i="8" l="1"/>
  <c r="E22" i="8"/>
  <c r="F22" i="8" l="1"/>
  <c r="E23" i="8"/>
  <c r="F23" i="8" l="1"/>
  <c r="E24" i="8"/>
  <c r="F24" i="8" l="1"/>
  <c r="E25" i="8"/>
  <c r="F25" i="8" l="1"/>
  <c r="E26" i="8"/>
  <c r="F26" i="8" l="1"/>
  <c r="E27" i="8"/>
  <c r="F27" i="8" l="1"/>
  <c r="E28" i="8"/>
  <c r="F28" i="8" l="1"/>
  <c r="E29" i="8"/>
  <c r="F29" i="8" l="1"/>
  <c r="E30" i="8"/>
  <c r="F30" i="8" l="1"/>
  <c r="E31" i="8"/>
  <c r="F31" i="8" l="1"/>
  <c r="E32" i="8"/>
  <c r="F32" i="8" l="1"/>
  <c r="E33" i="8"/>
  <c r="F33" i="8" l="1"/>
  <c r="E34" i="8"/>
  <c r="E35" i="8" l="1"/>
  <c r="F34" i="8"/>
  <c r="F35" i="8" l="1"/>
  <c r="E36" i="8"/>
  <c r="E37" i="8" l="1"/>
  <c r="F36" i="8"/>
  <c r="F37" i="8" l="1"/>
  <c r="E38" i="8"/>
  <c r="F38" i="8" l="1"/>
  <c r="E39" i="8"/>
  <c r="F39" i="8" l="1"/>
  <c r="E40" i="8"/>
  <c r="F40" i="8" l="1"/>
  <c r="E41" i="8"/>
  <c r="F41" i="8" l="1"/>
  <c r="E42" i="8"/>
  <c r="F4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Manpreeth M.P</author>
  </authors>
  <commentList>
    <comment ref="M1" authorId="0" shapeId="0" xr:uid="{05571E25-D223-429A-9455-644C4D99149F}">
      <text>
        <r>
          <rPr>
            <b/>
            <sz val="9"/>
            <color indexed="81"/>
            <rFont val="Tahoma"/>
            <family val="2"/>
          </rPr>
          <t>Manpreeth M.P:</t>
        </r>
        <r>
          <rPr>
            <sz val="9"/>
            <color indexed="81"/>
            <rFont val="Tahoma"/>
            <family val="2"/>
          </rPr>
          <t xml:space="preserve">
Earning after tax the Depreciation is added back to the profit after the tax is subtracted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<sst xmlns="http://schemas.openxmlformats.org/spreadsheetml/2006/main" count="479" uniqueCount="278">
  <si>
    <t>ALL COSTS IN CRs</t>
  </si>
  <si>
    <t>Estimated Cost</t>
  </si>
  <si>
    <t>Cr</t>
  </si>
  <si>
    <t xml:space="preserve">actual Cost </t>
  </si>
  <si>
    <t>ACTIVE EQUITY</t>
  </si>
  <si>
    <t xml:space="preserve">GoI </t>
  </si>
  <si>
    <t>GoM</t>
  </si>
  <si>
    <t>Equity</t>
  </si>
  <si>
    <t>PMC</t>
  </si>
  <si>
    <t>PCMC</t>
  </si>
  <si>
    <t>Debt</t>
  </si>
  <si>
    <t>EIB</t>
  </si>
  <si>
    <t>France</t>
  </si>
  <si>
    <t>Grants(Non Repayable)</t>
  </si>
  <si>
    <t xml:space="preserve">Loan_interest_rates </t>
  </si>
  <si>
    <t>AFD</t>
  </si>
  <si>
    <t>Revenue</t>
  </si>
  <si>
    <t>Non_farebox/farebox</t>
  </si>
  <si>
    <t>Operational_route(Km)</t>
  </si>
  <si>
    <t>Km</t>
  </si>
  <si>
    <t>O&amp;M</t>
  </si>
  <si>
    <t xml:space="preserve">O&amp;M_Cost </t>
  </si>
  <si>
    <t>Cr/Km/year</t>
  </si>
  <si>
    <t>O&amp;M_escalation</t>
  </si>
  <si>
    <t>Per_passenger_cost</t>
  </si>
  <si>
    <t>rupees</t>
  </si>
  <si>
    <t>Power_cost</t>
  </si>
  <si>
    <t>per Kwh</t>
  </si>
  <si>
    <t>Power_cost_Escalation</t>
  </si>
  <si>
    <t>Admin_cost_per_yer</t>
  </si>
  <si>
    <t>Crs</t>
  </si>
  <si>
    <t>Admin_cot_escalation</t>
  </si>
  <si>
    <t>Depreciation</t>
  </si>
  <si>
    <t>Years</t>
  </si>
  <si>
    <t>Dep_straigthline</t>
  </si>
  <si>
    <t>Civil Structures</t>
  </si>
  <si>
    <t>Cr/yr</t>
  </si>
  <si>
    <t>Rolling Stock</t>
  </si>
  <si>
    <t>SCADA Systems</t>
  </si>
  <si>
    <t xml:space="preserve">Tax_rate </t>
  </si>
  <si>
    <t>Subordinate_debt_rate</t>
  </si>
  <si>
    <t xml:space="preserve">Equity </t>
  </si>
  <si>
    <t>Year</t>
  </si>
  <si>
    <t>Pecentage</t>
  </si>
  <si>
    <t>Muncipal  Corporation</t>
  </si>
  <si>
    <t xml:space="preserve">GoI_Equity </t>
  </si>
  <si>
    <t>GoM_Equity</t>
  </si>
  <si>
    <t>Total</t>
  </si>
  <si>
    <t>Tot</t>
  </si>
  <si>
    <t>Municpal Corporation</t>
  </si>
  <si>
    <t>Active</t>
  </si>
  <si>
    <t>GoI</t>
  </si>
  <si>
    <t>Passive</t>
  </si>
  <si>
    <t>Escalation_factor</t>
  </si>
  <si>
    <t>Sl_no</t>
  </si>
  <si>
    <t xml:space="preserve">Percentage_distribution </t>
  </si>
  <si>
    <t>Total_Construction_cost</t>
  </si>
  <si>
    <t>EBITDA</t>
  </si>
  <si>
    <t>Financial Milestones</t>
  </si>
  <si>
    <t>EBITDA turns positive</t>
  </si>
  <si>
    <t>Year 9 (2030)</t>
  </si>
  <si>
    <t>₹16.71 Cr — revenue finally exceeds O&amp;M</t>
  </si>
  <si>
    <t>PAT turns positive</t>
  </si>
  <si>
    <t>Year 11 (2032)</t>
  </si>
  <si>
    <t>₹22.22 Cr — after depreciation &amp; interest</t>
  </si>
  <si>
    <t>Sub-debt repayment starts</t>
  </si>
  <si>
    <t>Year 21 (2042)</t>
  </si>
  <si>
    <t>10% of PAT paid annually</t>
  </si>
  <si>
    <t>Sub-debt fully repaid</t>
  </si>
  <si>
    <t>Year 34 (2055)</t>
  </si>
  <si>
    <t>₹708 Cr fully recovered</t>
  </si>
  <si>
    <t>REVENUES_Farebox_Revenue</t>
  </si>
  <si>
    <t>Passengers_per_day</t>
  </si>
  <si>
    <t>Passengers_per_year</t>
  </si>
  <si>
    <t>Farebox_Revenue</t>
  </si>
  <si>
    <t>Farebox_Revenue(crs)</t>
  </si>
  <si>
    <t>Non_Farebox_revenue(Crs)</t>
  </si>
  <si>
    <t>Total_revenue_Crs</t>
  </si>
  <si>
    <t>Year 1(Partial_ops)</t>
  </si>
  <si>
    <t>Year 2</t>
  </si>
  <si>
    <t xml:space="preserve">Year 3 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</si>
  <si>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</si>
  <si>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</si>
  <si>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</si>
  <si>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</si>
  <si>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</si>
  <si>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</si>
  <si>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</si>
  <si>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</si>
  <si>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</si>
  <si>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</si>
  <si>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</si>
  <si>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</si>
  <si>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</si>
  <si>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</si>
  <si>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</si>
  <si>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</si>
  <si>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</si>
  <si>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</si>
  <si>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</si>
  <si>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</si>
  <si>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</si>
  <si>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</si>
  <si>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</si>
  <si>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</si>
  <si>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</si>
  <si>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</si>
  <si>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</si>
  <si>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Year 31</t>
  </si>
  <si>
    <t>Year 32</t>
  </si>
  <si>
    <t>Year 33</t>
  </si>
  <si>
    <t>Year 34</t>
  </si>
  <si>
    <t>Year 35</t>
  </si>
  <si>
    <t>Formulas</t>
  </si>
  <si>
    <t>INT(3-1/2)</t>
  </si>
  <si>
    <t xml:space="preserve">Gives the floor value </t>
  </si>
  <si>
    <t>Operational Distance(km)</t>
  </si>
  <si>
    <t>Cost/Km(Crs)</t>
  </si>
  <si>
    <t>Fixed_O&amp;M_cost(Crs)</t>
  </si>
  <si>
    <t>Total_passengers</t>
  </si>
  <si>
    <t>per_passenger_cost(paise)</t>
  </si>
  <si>
    <t>Total_cost_rupee</t>
  </si>
  <si>
    <t>Total_cost_rupee_Crs</t>
  </si>
  <si>
    <t>Power_cost(Crs)</t>
  </si>
  <si>
    <t>Admin_cost(Crs)</t>
  </si>
  <si>
    <t>Total_o&amp;M_cost(Crs)</t>
  </si>
  <si>
    <t>Year1</t>
  </si>
  <si>
    <t>FIXED COST</t>
  </si>
  <si>
    <t>VARIABLE COST</t>
  </si>
  <si>
    <t>POWER COST</t>
  </si>
  <si>
    <t>ADMIN COST</t>
  </si>
  <si>
    <t>TOTAL COST</t>
  </si>
  <si>
    <t>Year2</t>
  </si>
  <si>
    <t>Year3</t>
  </si>
  <si>
    <t>Year4</t>
  </si>
  <si>
    <t>Year5</t>
  </si>
  <si>
    <t>Year6</t>
  </si>
  <si>
    <t>Year7</t>
  </si>
  <si>
    <t>Year8</t>
  </si>
  <si>
    <t>Year9</t>
  </si>
  <si>
    <t>Year10</t>
  </si>
  <si>
    <t>Year11</t>
  </si>
  <si>
    <t>Year12</t>
  </si>
  <si>
    <t>Year13</t>
  </si>
  <si>
    <t>Year14</t>
  </si>
  <si>
    <t>Year15</t>
  </si>
  <si>
    <t>Year16</t>
  </si>
  <si>
    <t>Year17</t>
  </si>
  <si>
    <t>Year18</t>
  </si>
  <si>
    <t>Year19</t>
  </si>
  <si>
    <t>Year20</t>
  </si>
  <si>
    <t>Year21</t>
  </si>
  <si>
    <t>Year22</t>
  </si>
  <si>
    <t>Year23</t>
  </si>
  <si>
    <t>Year24</t>
  </si>
  <si>
    <t>Year25</t>
  </si>
  <si>
    <t>Year26</t>
  </si>
  <si>
    <t>Year27</t>
  </si>
  <si>
    <t>Year28</t>
  </si>
  <si>
    <t>Year29</t>
  </si>
  <si>
    <t>Year30</t>
  </si>
  <si>
    <t>Year31</t>
  </si>
  <si>
    <t>Year32</t>
  </si>
  <si>
    <t>Year33</t>
  </si>
  <si>
    <t>Year34</t>
  </si>
  <si>
    <t>Year35</t>
  </si>
  <si>
    <t>Electrical_dep</t>
  </si>
  <si>
    <t>Depot_dep</t>
  </si>
  <si>
    <t>other_equip</t>
  </si>
  <si>
    <t>Tot_Dep(Crs)</t>
  </si>
  <si>
    <t>Year 1</t>
  </si>
  <si>
    <t>Year 3</t>
  </si>
  <si>
    <t>Year 36</t>
  </si>
  <si>
    <t>Year 37</t>
  </si>
  <si>
    <t>Year 38</t>
  </si>
  <si>
    <t>Year 39</t>
  </si>
  <si>
    <t>Year 40</t>
  </si>
  <si>
    <t>Year 41</t>
  </si>
  <si>
    <t>Year 42</t>
  </si>
  <si>
    <t>Year 43</t>
  </si>
  <si>
    <t>Year 44</t>
  </si>
  <si>
    <t>Year 45</t>
  </si>
  <si>
    <t>Year 46</t>
  </si>
  <si>
    <t>Year 47</t>
  </si>
  <si>
    <t>Year 48</t>
  </si>
  <si>
    <t>Year 49</t>
  </si>
  <si>
    <t>Year 50</t>
  </si>
  <si>
    <t>Year 51</t>
  </si>
  <si>
    <t>Year 52</t>
  </si>
  <si>
    <t>Year 53</t>
  </si>
  <si>
    <t>Year 54</t>
  </si>
  <si>
    <t>Year 55</t>
  </si>
  <si>
    <t>Year 56</t>
  </si>
  <si>
    <t>Year 57</t>
  </si>
  <si>
    <t>Year 58</t>
  </si>
  <si>
    <t>Year 59</t>
  </si>
  <si>
    <t>Year 60</t>
  </si>
  <si>
    <t>Sl no</t>
  </si>
  <si>
    <t xml:space="preserve">Years </t>
  </si>
  <si>
    <t>Outstanding Principal(Crs)</t>
  </si>
  <si>
    <t>EMI(Crs)</t>
  </si>
  <si>
    <t>Interest</t>
  </si>
  <si>
    <t>Principal</t>
  </si>
  <si>
    <t>Year 0</t>
  </si>
  <si>
    <t>AS MENTIONED IN the PDF (EQUAL PRINCIPAL)</t>
  </si>
  <si>
    <t>Principal(Crs)</t>
  </si>
  <si>
    <t>Interest(Crs)</t>
  </si>
  <si>
    <t>Total Yearly Installment(Crs)</t>
  </si>
  <si>
    <t>For example interest for 5th Year is the Outstanding principle in year 4 * Interest rate )</t>
  </si>
  <si>
    <t>Subordinate_debt_payment</t>
  </si>
  <si>
    <t>Subordinate_debt_cumulative</t>
  </si>
  <si>
    <t>Investments</t>
  </si>
  <si>
    <t>Debt_service_EIB</t>
  </si>
  <si>
    <t>Debt_service_AFD</t>
  </si>
  <si>
    <t>Subordinate_Debt</t>
  </si>
  <si>
    <t>Tax_paid</t>
  </si>
  <si>
    <t>Cash_Left_for_dist</t>
  </si>
  <si>
    <t>Cash_PCMC</t>
  </si>
  <si>
    <t>Cash_PMC</t>
  </si>
  <si>
    <t>year -5</t>
  </si>
  <si>
    <t>Year -4</t>
  </si>
  <si>
    <t>year -3</t>
  </si>
  <si>
    <t>year -2</t>
  </si>
  <si>
    <t>year -1</t>
  </si>
  <si>
    <t>year -0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</si>
  <si>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</si>
  <si>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</si>
  <si>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</si>
  <si>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</si>
  <si>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</si>
  <si>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</si>
  <si>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</si>
  <si>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</si>
  <si>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</si>
  <si>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</si>
  <si>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</si>
  <si>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</si>
  <si>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</si>
  <si>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</si>
  <si>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</si>
  <si>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</si>
  <si>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</si>
  <si>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</si>
  <si>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</si>
  <si>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year 20</t>
  </si>
  <si>
    <t>year 21</t>
  </si>
  <si>
    <t>year 22</t>
  </si>
  <si>
    <t>year 23</t>
  </si>
  <si>
    <t>year 24</t>
  </si>
  <si>
    <t>year 25</t>
  </si>
  <si>
    <t>year 26</t>
  </si>
  <si>
    <t>year 27</t>
  </si>
  <si>
    <t>year 28</t>
  </si>
  <si>
    <t>year 29</t>
  </si>
  <si>
    <t>year 30</t>
  </si>
  <si>
    <t>year 31</t>
  </si>
  <si>
    <t>_Final</t>
  </si>
  <si>
    <t>year 32</t>
  </si>
  <si>
    <t>year 33</t>
  </si>
  <si>
    <t>year 34</t>
  </si>
  <si>
    <t>year 35</t>
  </si>
  <si>
    <t>Construction Cost(Crs)</t>
  </si>
  <si>
    <t>Total_Revenue</t>
  </si>
  <si>
    <t>O&amp;M_cost</t>
  </si>
  <si>
    <t>EIB_interest</t>
  </si>
  <si>
    <t>AFD_Interest</t>
  </si>
  <si>
    <t>Profit_Before_Tax(EBIT)</t>
  </si>
  <si>
    <t>Tax</t>
  </si>
  <si>
    <t>Profit_after_Tax</t>
  </si>
  <si>
    <t>Subordinate_debt</t>
  </si>
  <si>
    <t>Cashflow</t>
  </si>
  <si>
    <t>NEED NOT INCLUDE THIS LINE Construction Cost as</t>
  </si>
  <si>
    <t>per_GoI</t>
  </si>
  <si>
    <t>per_GoM</t>
  </si>
  <si>
    <t>Cash_GoI</t>
  </si>
  <si>
    <t>Cash_GoM</t>
  </si>
  <si>
    <t>GoI(Crs)</t>
  </si>
  <si>
    <t>GoMCrs)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</si>
</sst>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₹&quot;\ #,##0.00;[Red]&quot;₹&quot;\ \-#,##0.00"/>
    <numFmt numFmtId="165" formatCode="_ * #,##0.00_ ;_ * \-#,##0.00_ ;_ * &quot;-&quot;??_ ;_ @_ "/>
    <numFmt numFmtId="166" formatCode="_ [$₹-4009]\ * #,##0.00_ ;_ [$₹-4009]\ * \-#,##0.00_ ;_ [$₹-4009]\ * &quot;-&quot;??_ ;_ @_ "/>
    <numFmt numFmtId="167" formatCode="0.000%"/>
    <numFmt numFmtId="168" formatCode="0.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2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i/>
      <sz val="11"/>
      <color theme="1"/>
      <name val="Aptos Narrow"/>
      <family val="2"/>
      <scheme val="minor"/>
    </font>
    <font>
      <b/>
      <sz val="10"/>
      <color rgb="FF1F3864"/>
      <name val="Arial"/>
      <charset val="1"/>
    </font>
    <font>
      <b/>
      <sz val="10"/>
      <color rgb="FF2E74B5"/>
      <name val="Arial"/>
      <charset val="1"/>
    </font>
    <font>
      <sz val="10"/>
      <color rgb="FF0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2F2F2"/>
        <bgColor rgb="FFE8E8E8"/>
      </patternFill>
    </fill>
    <fill>
      <patternFill patternType="solid">
        <fgColor rgb="FFFFFFFF"/>
        <bgColor rgb="FFF2F2F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6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9" fontId="0" fillId="0" borderId="0" xfId="2" applyFont="1" applyAlignment="1">
      <alignment horizontal="left" vertical="center"/>
    </xf>
    <xf numFmtId="10" fontId="0" fillId="0" borderId="0" xfId="2" applyNumberFormat="1" applyFont="1" applyAlignment="1">
      <alignment horizontal="left" vertical="center"/>
    </xf>
    <xf numFmtId="167" fontId="0" fillId="0" borderId="0" xfId="2" applyNumberFormat="1" applyFont="1" applyAlignment="1">
      <alignment horizontal="left" vertical="center"/>
    </xf>
    <xf numFmtId="167" fontId="0" fillId="0" borderId="0" xfId="2" applyNumberFormat="1" applyFont="1"/>
    <xf numFmtId="2" fontId="0" fillId="0" borderId="0" xfId="0" applyNumberFormat="1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0" fillId="5" borderId="0" xfId="0" applyFill="1"/>
    <xf numFmtId="164" fontId="0" fillId="5" borderId="0" xfId="0" applyNumberFormat="1" applyFill="1"/>
    <xf numFmtId="9" fontId="0" fillId="0" borderId="0" xfId="0" applyNumberFormat="1" applyAlignment="1">
      <alignment horizontal="left" vertical="center"/>
    </xf>
    <xf numFmtId="0" fontId="0" fillId="6" borderId="0" xfId="0" applyFill="1" applyAlignment="1">
      <alignment horizontal="left" vertical="center"/>
    </xf>
    <xf numFmtId="166" fontId="0" fillId="6" borderId="0" xfId="0" applyNumberFormat="1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left" vertical="center"/>
    </xf>
    <xf numFmtId="0" fontId="0" fillId="0" borderId="1" xfId="0" applyBorder="1"/>
    <xf numFmtId="0" fontId="7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3" fontId="0" fillId="0" borderId="1" xfId="1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9" fontId="0" fillId="0" borderId="0" xfId="0" applyNumberFormat="1"/>
    <xf numFmtId="0" fontId="7" fillId="7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8" fillId="8" borderId="3" xfId="0" applyFont="1" applyFill="1" applyBorder="1" applyAlignment="1">
      <alignment horizontal="center"/>
    </xf>
    <xf numFmtId="0" fontId="8" fillId="8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68" fontId="0" fillId="2" borderId="1" xfId="0" applyNumberFormat="1" applyFill="1" applyBorder="1" applyAlignment="1">
      <alignment horizontal="center" vertical="center" textRotation="255"/>
    </xf>
    <xf numFmtId="0" fontId="0" fillId="2" borderId="1" xfId="0" applyFill="1" applyBorder="1" applyAlignment="1">
      <alignment horizontal="center" vertical="center" textRotation="255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8" fillId="8" borderId="3" xfId="0" applyFont="1" applyFill="1" applyBorder="1" applyAlignment="1"/>
    <xf numFmtId="0" fontId="8" fillId="8" borderId="4" xfId="0" applyFont="1" applyFill="1" applyBorder="1" applyAlignment="1"/>
    <xf numFmtId="0" fontId="9" fillId="8" borderId="3" xfId="0" applyFont="1" applyFill="1" applyBorder="1" applyAlignment="1"/>
    <xf numFmtId="0" fontId="9" fillId="8" borderId="4" xfId="0" applyFont="1" applyFill="1" applyBorder="1" applyAlignment="1"/>
    <xf numFmtId="0" fontId="10" fillId="8" borderId="3" xfId="0" applyFont="1" applyFill="1" applyBorder="1" applyAlignment="1"/>
    <xf numFmtId="0" fontId="10" fillId="8" borderId="4" xfId="0" applyFont="1" applyFill="1" applyBorder="1" applyAlignment="1"/>
    <xf numFmtId="0" fontId="8" fillId="9" borderId="3" xfId="0" applyFont="1" applyFill="1" applyBorder="1" applyAlignment="1"/>
    <xf numFmtId="0" fontId="8" fillId="9" borderId="4" xfId="0" applyFont="1" applyFill="1" applyBorder="1" applyAlignment="1"/>
    <xf numFmtId="0" fontId="9" fillId="9" borderId="3" xfId="0" applyFont="1" applyFill="1" applyBorder="1" applyAlignment="1"/>
    <xf numFmtId="0" fontId="9" fillId="9" borderId="4" xfId="0" applyFont="1" applyFill="1" applyBorder="1" applyAlignment="1"/>
    <xf numFmtId="0" fontId="10" fillId="9" borderId="3" xfId="0" applyFont="1" applyFill="1" applyBorder="1" applyAlignment="1"/>
    <xf numFmtId="0" fontId="10" fillId="9" borderId="4" xfId="0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Revenue-O&amp;M Vs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'Reports&amp;charts'!B1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'Reports&amp;charts'!$A$8:$A$42</c:f>
              <c:numCache>
                <c:formatCode>General</c:formatCode>
                <c:ptCount val="3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</c:numCache>
            </c:numRef>
          </c:cat>
          <c:val>
            <c:numRef>
              <c:f>'Reports&amp;charts'!$B$8:$B$42</c:f>
              <c:numCache>
                <c:formatCode>General</c:formatCode>
                <c:ptCount val="35"/>
                <c:pt idx="0">
                  <c:v>122.64</c:v>
                </c:pt>
                <c:pt idx="1">
                  <c:v>245.28</c:v>
                </c:pt>
                <c:pt idx="2">
                  <c:v>270.4212</c:v>
                </c:pt>
                <c:pt idx="3">
                  <c:v>283.94226000000003</c:v>
                </c:pt>
                <c:pt idx="4">
                  <c:v>313.04634165000004</c:v>
                </c:pt>
                <c:pt idx="5">
                  <c:v>328.69865873250006</c:v>
                </c:pt>
                <c:pt idx="6">
                  <c:v>362.39027125258133</c:v>
                </c:pt>
                <c:pt idx="7">
                  <c:v>380.50978481521031</c:v>
                </c:pt>
                <c:pt idx="8">
                  <c:v>419.51203775876934</c:v>
                </c:pt>
                <c:pt idx="9">
                  <c:v>440.48763964670781</c:v>
                </c:pt>
                <c:pt idx="10">
                  <c:v>485.63762271049552</c:v>
                </c:pt>
                <c:pt idx="11">
                  <c:v>509.91950384602029</c:v>
                </c:pt>
                <c:pt idx="12">
                  <c:v>562.18625299023734</c:v>
                </c:pt>
                <c:pt idx="13">
                  <c:v>590.29556563974916</c:v>
                </c:pt>
                <c:pt idx="14">
                  <c:v>650.80086111782373</c:v>
                </c:pt>
                <c:pt idx="15">
                  <c:v>683.34090417371488</c:v>
                </c:pt>
                <c:pt idx="16">
                  <c:v>753.38334685152063</c:v>
                </c:pt>
                <c:pt idx="17">
                  <c:v>791.05251419409672</c:v>
                </c:pt>
                <c:pt idx="18">
                  <c:v>872.13539689899164</c:v>
                </c:pt>
                <c:pt idx="19">
                  <c:v>915.7421667439412</c:v>
                </c:pt>
                <c:pt idx="20">
                  <c:v>1009.6057388351952</c:v>
                </c:pt>
                <c:pt idx="21">
                  <c:v>1060.0860257769548</c:v>
                </c:pt>
                <c:pt idx="22">
                  <c:v>1168.7448434190928</c:v>
                </c:pt>
                <c:pt idx="23">
                  <c:v>1227.1820855900476</c:v>
                </c:pt>
                <c:pt idx="24">
                  <c:v>1352.9682493630276</c:v>
                </c:pt>
                <c:pt idx="25">
                  <c:v>1420.6166618311788</c:v>
                </c:pt>
                <c:pt idx="26">
                  <c:v>1566.2298696688749</c:v>
                </c:pt>
                <c:pt idx="27">
                  <c:v>1644.541363152319</c:v>
                </c:pt>
                <c:pt idx="28">
                  <c:v>1813.1068528754311</c:v>
                </c:pt>
                <c:pt idx="29">
                  <c:v>1903.762195519203</c:v>
                </c:pt>
                <c:pt idx="30">
                  <c:v>2098.8978205599224</c:v>
                </c:pt>
                <c:pt idx="31">
                  <c:v>2203.8427115879181</c:v>
                </c:pt>
                <c:pt idx="32">
                  <c:v>2429.7365895256798</c:v>
                </c:pt>
                <c:pt idx="33">
                  <c:v>2551.2234190019631</c:v>
                </c:pt>
                <c:pt idx="34">
                  <c:v>2812.7238194496658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9D707B7B-5C14-48E3-B80C-3EDF388BE972}"/>
            </c:ext>
          </c:extLst>
        </c:ser>
        <c:ser>
          <c:idx val="1"/>
          <c:order val="1"/>
          <c:tx>
            <c:strRef>
              <c:f>'Reports&amp;charts'!C1</c:f>
              <c:strCache>
                <c:ptCount val="1"/>
                <c:pt idx="0">
                  <c:v>O&amp;M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'Reports&amp;charts'!$A$8:$A$42</c:f>
              <c:numCache>
                <c:formatCode>General</c:formatCode>
                <c:ptCount val="3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</c:numCache>
            </c:numRef>
          </c:cat>
          <c:val>
            <c:numRef>
              <c:f>'Reports&amp;charts'!$C$8:$C$42</c:f>
              <c:numCache>
                <c:formatCode>General</c:formatCode>
                <c:ptCount val="35"/>
                <c:pt idx="0">
                  <c:v>263.98</c:v>
                </c:pt>
                <c:pt idx="1">
                  <c:v>279.80125000000004</c:v>
                </c:pt>
                <c:pt idx="2">
                  <c:v>294.73312250000004</c:v>
                </c:pt>
                <c:pt idx="3">
                  <c:v>310.46809722500007</c:v>
                </c:pt>
                <c:pt idx="4">
                  <c:v>327.04971980225002</c:v>
                </c:pt>
                <c:pt idx="5">
                  <c:v>344.52391657132256</c:v>
                </c:pt>
                <c:pt idx="6">
                  <c:v>362.9391258255863</c:v>
                </c:pt>
                <c:pt idx="7">
                  <c:v>382.3464363481051</c:v>
                </c:pt>
                <c:pt idx="8">
                  <c:v>402.79973365062426</c:v>
                </c:pt>
                <c:pt idx="9">
                  <c:v>424.35585434737607</c:v>
                </c:pt>
                <c:pt idx="10">
                  <c:v>447.07474911981882</c:v>
                </c:pt>
                <c:pt idx="11">
                  <c:v>471.0196547541882</c:v>
                </c:pt>
                <c:pt idx="12">
                  <c:v>496.25727576097859</c:v>
                </c:pt>
                <c:pt idx="13">
                  <c:v>522.85797611425346</c:v>
                </c:pt>
                <c:pt idx="14">
                  <c:v>550.8959816791056</c:v>
                </c:pt>
                <c:pt idx="15">
                  <c:v>580.44959392774877</c:v>
                </c:pt>
                <c:pt idx="16">
                  <c:v>611.6014155787052</c:v>
                </c:pt>
                <c:pt idx="17">
                  <c:v>644.43858882948371</c:v>
                </c:pt>
                <c:pt idx="18">
                  <c:v>679.05304689111176</c:v>
                </c:pt>
                <c:pt idx="19">
                  <c:v>715.54177957303045</c:v>
                </c:pt>
                <c:pt idx="20">
                  <c:v>754.00711370928684</c:v>
                </c:pt>
                <c:pt idx="21">
                  <c:v>794.55700926181225</c:v>
                </c:pt>
                <c:pt idx="22">
                  <c:v>837.3053719839877</c:v>
                </c:pt>
                <c:pt idx="23">
                  <c:v>882.37238357781712</c:v>
                </c:pt>
                <c:pt idx="24">
                  <c:v>929.88485033101563</c:v>
                </c:pt>
                <c:pt idx="25">
                  <c:v>979.97657127633249</c:v>
                </c:pt>
                <c:pt idx="26">
                  <c:v>1032.7887269746413</c:v>
                </c:pt>
                <c:pt idx="27">
                  <c:v>1088.4702900859352</c:v>
                </c:pt>
                <c:pt idx="28">
                  <c:v>1147.1784589585473</c:v>
                </c:pt>
                <c:pt idx="29">
                  <c:v>1209.079115536889</c:v>
                </c:pt>
                <c:pt idx="30">
                  <c:v>1274.3473089619724</c:v>
                </c:pt>
                <c:pt idx="31">
                  <c:v>1343.1677663172045</c:v>
                </c:pt>
                <c:pt idx="32">
                  <c:v>1415.7354320546265</c:v>
                </c:pt>
                <c:pt idx="33">
                  <c:v>1492.2560377242128</c:v>
                </c:pt>
                <c:pt idx="34">
                  <c:v>1572.9467037212899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9D00BAB-F751-483F-99CC-15784E8F6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084552"/>
        <c:axId val="480978440"/>
      </c:lineChart>
      <c:catAx>
        <c:axId val="103084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978440"/>
        <c:crosses val="autoZero"/>
        <c:auto val="1"/>
        <c:lblAlgn val="ctr"/>
        <c:lblOffset val="100"/>
        <c:noMultiLvlLbl val="0"/>
      </c:catAx>
      <c:valAx>
        <c:axId val="48097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4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'Reports&amp;charts'!$D$1</c:f>
              <c:strCache>
                <c:ptCount val="1"/>
                <c:pt idx="0">
                  <c:v>EBITDA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'Reports&amp;charts'!$D$2:$D$42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-141.34000000000003</c:v>
                </c:pt>
                <c:pt idx="7">
                  <c:v>-34.521250000000038</c:v>
                </c:pt>
                <c:pt idx="8">
                  <c:v>-24.311922500000037</c:v>
                </c:pt>
                <c:pt idx="9">
                  <c:v>-26.525837225000032</c:v>
                </c:pt>
                <c:pt idx="10">
                  <c:v>-14.003378152249979</c:v>
                </c:pt>
                <c:pt idx="11">
                  <c:v>-15.825257838822495</c:v>
                </c:pt>
                <c:pt idx="12">
                  <c:v>-0.54885457300497364</c:v>
                </c:pt>
                <c:pt idx="13">
                  <c:v>-1.8366515328947912</c:v>
                </c:pt>
                <c:pt idx="14">
                  <c:v>16.712304108145076</c:v>
                </c:pt>
                <c:pt idx="15">
                  <c:v>16.131785299331739</c:v>
                </c:pt>
                <c:pt idx="16">
                  <c:v>38.562873590676702</c:v>
                </c:pt>
                <c:pt idx="17">
                  <c:v>38.899849091832095</c:v>
                </c:pt>
                <c:pt idx="18">
                  <c:v>65.928977229258749</c:v>
                </c:pt>
                <c:pt idx="19">
                  <c:v>67.437589525495696</c:v>
                </c:pt>
                <c:pt idx="20">
                  <c:v>99.904879438718126</c:v>
                </c:pt>
                <c:pt idx="21">
                  <c:v>102.89131024596611</c:v>
                </c:pt>
                <c:pt idx="22">
                  <c:v>141.78193127281543</c:v>
                </c:pt>
                <c:pt idx="23">
                  <c:v>146.61392536461301</c:v>
                </c:pt>
                <c:pt idx="24">
                  <c:v>193.08235000787988</c:v>
                </c:pt>
                <c:pt idx="25">
                  <c:v>200.20038717091074</c:v>
                </c:pt>
                <c:pt idx="26">
                  <c:v>255.59862512590837</c:v>
                </c:pt>
                <c:pt idx="27">
                  <c:v>265.52901651514253</c:v>
                </c:pt>
                <c:pt idx="28">
                  <c:v>331.43947143510513</c:v>
                </c:pt>
                <c:pt idx="29">
                  <c:v>344.80970201223045</c:v>
                </c:pt>
                <c:pt idx="30">
                  <c:v>423.08339903201193</c:v>
                </c:pt>
                <c:pt idx="31">
                  <c:v>440.64009055484632</c:v>
                </c:pt>
                <c:pt idx="32">
                  <c:v>533.44114269423358</c:v>
                </c:pt>
                <c:pt idx="33">
                  <c:v>556.07107306638386</c:v>
                </c:pt>
                <c:pt idx="34">
                  <c:v>665.92839391688381</c:v>
                </c:pt>
                <c:pt idx="35">
                  <c:v>694.68307998231398</c:v>
                </c:pt>
                <c:pt idx="36">
                  <c:v>824.55051159794994</c:v>
                </c:pt>
                <c:pt idx="37">
                  <c:v>860.67494527071358</c:v>
                </c:pt>
                <c:pt idx="38">
                  <c:v>1014.0011574710534</c:v>
                </c:pt>
                <c:pt idx="39">
                  <c:v>1058.9673812777503</c:v>
                </c:pt>
                <c:pt idx="40">
                  <c:v>1239.777115728376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C45-4C39-8898-EE2339FE1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9867527"/>
        <c:axId val="103078920"/>
      </c:lineChart>
      <c:catAx>
        <c:axId val="8698675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78920"/>
        <c:crosses val="autoZero"/>
        <c:auto val="1"/>
        <c:lblAlgn val="ctr"/>
        <c:lblOffset val="100"/>
        <c:noMultiLvlLbl val="0"/>
      </c:catAx>
      <c:valAx>
        <c:axId val="10307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Crores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867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7</xdr:row>
      <xdr:rowOff>114300</xdr:rowOff>
    </xdr:from>
    <xdr:to>
      <xdr:col>13</xdr:col>
      <xdr:colOff>0</xdr:colOff>
      <xdr:row>30</xdr:row>
      <xdr:rowOff>57150</xdr:rowOff>
    </xdr:to>
    <xdr:graphicFrame macro="">
      <xdr:nvGraphicFramePr>
        <xdr:cNvPr id="3" name="Chart 2" descr="Chart type: Line. 'Revenue', 'O&amp;M' by 'Year'&#10;&#10;Description automatically generated">
          <a:extLst>
            <a:ext uri="{FF2B5EF4-FFF2-40B4-BE49-F238E27FC236}">
              <a16:creationId xmlns:a16="http://schemas.microsoft.com/office/drawing/2014/main" id="{7AE7A710-9783-CF6D-0B48-3943FC440091}"/>
            </a:ext>
            <a:ext uri="{147F2762-F138-4A5C-976F-8EAC2B608ADB}">
              <a16:predDERef xmlns:a16="http://schemas.microsoft.com/office/drawing/2014/main" pred="{484C4AA4-4D96-8F77-0895-0562BA17D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304800</xdr:colOff>
      <xdr:row>7</xdr:row>
      <xdr:rowOff>171450</xdr:rowOff>
    </xdr:from>
    <xdr:to>
      <xdr:col>22</xdr:col>
      <xdr:colOff>114300</xdr:colOff>
      <xdr:row>30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B6B687-4031-41DE-8051-6B6186A840D6}"/>
            </a:ext>
            <a:ext uri="{147F2762-F138-4A5C-976F-8EAC2B608ADB}">
              <a16:predDERef xmlns:a16="http://schemas.microsoft.com/office/drawing/2014/main" pred="{7AE7A710-9783-CF6D-0B48-3943FC440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2656-C5AB-4DE9-A335-0BD1E860572D}">
  <dimension ref="A1:I53"/>
  <sheetViews>
    <sheetView zoomScale="130" zoomScaleNormal="130" workbookViewId="0">
      <selection activeCell="F37" sqref="F37"/>
    </sheetView>
  </sheetViews>
  <sheetFormatPr defaultColWidth="8.85546875" defaultRowHeight="14.45"/>
  <cols>
    <col min="1" max="1" width="19.85546875" style="2" customWidth="1"/>
    <col min="2" max="2" width="21.5703125" style="2" customWidth="1"/>
    <col min="3" max="3" width="11.5703125" style="3" bestFit="1" customWidth="1"/>
    <col min="4" max="4" width="8.85546875" style="2"/>
    <col min="5" max="5" width="10.7109375" style="2" customWidth="1"/>
    <col min="6" max="6" width="10.140625" style="2" bestFit="1" customWidth="1"/>
    <col min="7" max="7" width="8.28515625" style="2" customWidth="1"/>
    <col min="8" max="9" width="12.7109375" style="2" customWidth="1"/>
    <col min="10" max="10" width="10.140625" style="2" bestFit="1" customWidth="1"/>
    <col min="11" max="16384" width="8.85546875" style="2"/>
  </cols>
  <sheetData>
    <row r="1" spans="1:4">
      <c r="A1" s="4" t="s">
        <v>0</v>
      </c>
    </row>
    <row r="2" spans="1:4">
      <c r="B2" s="2" t="s">
        <v>1</v>
      </c>
      <c r="C2" s="3">
        <v>11420</v>
      </c>
      <c r="D2" s="2" t="s">
        <v>2</v>
      </c>
    </row>
    <row r="3" spans="1:4">
      <c r="B3" s="2" t="s">
        <v>3</v>
      </c>
      <c r="C3" s="3">
        <v>13469.29</v>
      </c>
      <c r="D3" s="2" t="s">
        <v>2</v>
      </c>
    </row>
    <row r="4" spans="1:4">
      <c r="A4" s="39" t="s">
        <v>4</v>
      </c>
      <c r="B4" s="2" t="s">
        <v>5</v>
      </c>
      <c r="C4" s="3">
        <v>11.88</v>
      </c>
      <c r="D4" s="2" t="s">
        <v>2</v>
      </c>
    </row>
    <row r="5" spans="1:4">
      <c r="A5" s="39"/>
      <c r="B5" s="2" t="s">
        <v>6</v>
      </c>
      <c r="C5" s="3">
        <v>11.88</v>
      </c>
      <c r="D5" s="2" t="s">
        <v>2</v>
      </c>
    </row>
    <row r="6" spans="1:4">
      <c r="A6" s="39" t="s">
        <v>7</v>
      </c>
      <c r="B6" s="2" t="s">
        <v>8</v>
      </c>
      <c r="C6" s="3">
        <v>4.24</v>
      </c>
      <c r="D6" s="2" t="s">
        <v>2</v>
      </c>
    </row>
    <row r="7" spans="1:4">
      <c r="A7" s="39"/>
      <c r="B7" s="2" t="s">
        <v>9</v>
      </c>
      <c r="C7" s="3">
        <v>4.24</v>
      </c>
      <c r="D7" s="2" t="s">
        <v>2</v>
      </c>
    </row>
    <row r="8" spans="1:4">
      <c r="A8" s="38" t="s">
        <v>10</v>
      </c>
      <c r="B8" s="2" t="s">
        <v>6</v>
      </c>
      <c r="C8" s="3">
        <v>354</v>
      </c>
      <c r="D8" s="2" t="s">
        <v>2</v>
      </c>
    </row>
    <row r="9" spans="1:4">
      <c r="A9" s="38"/>
      <c r="B9" s="2" t="s">
        <v>5</v>
      </c>
      <c r="C9" s="3">
        <v>354</v>
      </c>
      <c r="D9" s="2" t="s">
        <v>2</v>
      </c>
    </row>
    <row r="10" spans="1:4">
      <c r="A10" s="38" t="s">
        <v>10</v>
      </c>
      <c r="B10" s="2" t="s">
        <v>11</v>
      </c>
      <c r="C10" s="3">
        <v>5400</v>
      </c>
      <c r="D10" s="2" t="s">
        <v>2</v>
      </c>
    </row>
    <row r="11" spans="1:4">
      <c r="A11" s="38"/>
      <c r="B11" s="2" t="s">
        <v>12</v>
      </c>
      <c r="C11" s="3">
        <v>1690.79</v>
      </c>
      <c r="D11" s="2" t="s">
        <v>2</v>
      </c>
    </row>
    <row r="12" spans="1:4">
      <c r="A12" s="38" t="s">
        <v>13</v>
      </c>
      <c r="B12" s="2" t="s">
        <v>5</v>
      </c>
      <c r="C12" s="3">
        <v>1300</v>
      </c>
      <c r="D12" s="2" t="s">
        <v>2</v>
      </c>
    </row>
    <row r="13" spans="1:4">
      <c r="A13" s="38"/>
      <c r="B13" s="2" t="s">
        <v>6</v>
      </c>
      <c r="C13" s="3">
        <v>28.5</v>
      </c>
      <c r="D13" s="2" t="s">
        <v>2</v>
      </c>
    </row>
    <row r="15" spans="1:4">
      <c r="A15" s="38" t="s">
        <v>14</v>
      </c>
      <c r="B15" s="2" t="s">
        <v>11</v>
      </c>
      <c r="C15" s="6">
        <v>3.5000000000000001E-3</v>
      </c>
    </row>
    <row r="16" spans="1:4">
      <c r="A16" s="38"/>
      <c r="B16" s="2" t="s">
        <v>15</v>
      </c>
      <c r="C16" s="7">
        <v>4.0600000000000002E-3</v>
      </c>
    </row>
    <row r="17" spans="1:7">
      <c r="A17" s="1"/>
      <c r="C17" s="7"/>
    </row>
    <row r="18" spans="1:7">
      <c r="A18" s="37" t="s">
        <v>16</v>
      </c>
      <c r="B18" s="37"/>
      <c r="C18" s="37"/>
    </row>
    <row r="19" spans="1:7">
      <c r="B19" s="2" t="s">
        <v>17</v>
      </c>
      <c r="C19" s="5">
        <v>0.12</v>
      </c>
    </row>
    <row r="20" spans="1:7">
      <c r="B20" s="2" t="s">
        <v>18</v>
      </c>
      <c r="C20" s="2">
        <v>31.25</v>
      </c>
      <c r="D20" s="2" t="s">
        <v>19</v>
      </c>
    </row>
    <row r="21" spans="1:7">
      <c r="C21" s="2"/>
    </row>
    <row r="22" spans="1:7">
      <c r="A22" s="37" t="s">
        <v>20</v>
      </c>
      <c r="B22" s="37"/>
      <c r="C22" s="37"/>
    </row>
    <row r="23" spans="1:7">
      <c r="B23" s="2" t="s">
        <v>21</v>
      </c>
      <c r="C23" s="3">
        <v>0.5</v>
      </c>
      <c r="D23" s="2" t="s">
        <v>22</v>
      </c>
    </row>
    <row r="24" spans="1:7">
      <c r="B24" s="2" t="s">
        <v>23</v>
      </c>
      <c r="C24" s="5">
        <v>0.05</v>
      </c>
    </row>
    <row r="25" spans="1:7">
      <c r="B25" s="2" t="s">
        <v>24</v>
      </c>
      <c r="C25" s="3">
        <v>0.5</v>
      </c>
      <c r="D25" s="2" t="s">
        <v>25</v>
      </c>
    </row>
    <row r="26" spans="1:7">
      <c r="B26" s="2" t="s">
        <v>26</v>
      </c>
      <c r="C26" s="3">
        <v>6</v>
      </c>
      <c r="D26" s="2" t="s">
        <v>27</v>
      </c>
    </row>
    <row r="27" spans="1:7">
      <c r="B27" s="2" t="s">
        <v>28</v>
      </c>
      <c r="C27" s="5">
        <v>0.05</v>
      </c>
    </row>
    <row r="28" spans="1:7">
      <c r="B28" s="2" t="s">
        <v>29</v>
      </c>
      <c r="C28" s="3">
        <v>157.68</v>
      </c>
      <c r="D28" s="2" t="s">
        <v>30</v>
      </c>
    </row>
    <row r="29" spans="1:7">
      <c r="B29" s="2" t="s">
        <v>31</v>
      </c>
      <c r="C29" s="5">
        <v>0.06</v>
      </c>
    </row>
    <row r="31" spans="1:7">
      <c r="A31" s="38" t="s">
        <v>32</v>
      </c>
      <c r="B31" s="38"/>
      <c r="E31" s="2" t="s">
        <v>33</v>
      </c>
      <c r="F31" s="2" t="s">
        <v>34</v>
      </c>
    </row>
    <row r="32" spans="1:7">
      <c r="B32" s="2" t="s">
        <v>35</v>
      </c>
      <c r="C32" s="3">
        <v>3990</v>
      </c>
      <c r="D32" s="2" t="s">
        <v>30</v>
      </c>
      <c r="E32" s="2">
        <v>60</v>
      </c>
      <c r="F32" s="3">
        <f>C32/E32</f>
        <v>66.5</v>
      </c>
      <c r="G32" s="2" t="s">
        <v>36</v>
      </c>
    </row>
    <row r="33" spans="1:9">
      <c r="B33" s="2" t="s">
        <v>37</v>
      </c>
      <c r="C33" s="3">
        <v>1140</v>
      </c>
      <c r="D33" s="2" t="s">
        <v>30</v>
      </c>
      <c r="E33" s="2">
        <v>30</v>
      </c>
      <c r="F33" s="3">
        <f t="shared" ref="F33:F34" si="0">C33/E33</f>
        <v>38</v>
      </c>
      <c r="G33" s="2" t="s">
        <v>36</v>
      </c>
    </row>
    <row r="34" spans="1:9">
      <c r="B34" s="2" t="s">
        <v>38</v>
      </c>
      <c r="C34" s="3">
        <v>1140</v>
      </c>
      <c r="D34" s="2" t="s">
        <v>30</v>
      </c>
      <c r="E34" s="2">
        <v>15</v>
      </c>
      <c r="F34" s="3">
        <f t="shared" si="0"/>
        <v>76</v>
      </c>
      <c r="G34" s="2" t="s">
        <v>36</v>
      </c>
    </row>
    <row r="36" spans="1:9">
      <c r="B36" s="2" t="s">
        <v>39</v>
      </c>
      <c r="C36" s="5">
        <v>0.26</v>
      </c>
    </row>
    <row r="37" spans="1:9">
      <c r="B37" s="2" t="s">
        <v>40</v>
      </c>
      <c r="C37" s="5">
        <v>0.1</v>
      </c>
    </row>
    <row r="39" spans="1:9">
      <c r="A39" s="40" t="s">
        <v>41</v>
      </c>
      <c r="B39" s="40"/>
      <c r="C39" s="40"/>
    </row>
    <row r="40" spans="1:9" ht="28.9">
      <c r="D40" s="2" t="s">
        <v>42</v>
      </c>
      <c r="E40" s="2" t="s">
        <v>43</v>
      </c>
      <c r="G40" s="2" t="s">
        <v>44</v>
      </c>
      <c r="H40" s="18" t="s">
        <v>44</v>
      </c>
      <c r="I40" s="18"/>
    </row>
    <row r="41" spans="1:9">
      <c r="B41" s="2" t="s">
        <v>45</v>
      </c>
      <c r="C41" s="3">
        <v>1600</v>
      </c>
      <c r="D41" s="2">
        <v>2017</v>
      </c>
      <c r="E41" s="15">
        <v>0.1</v>
      </c>
      <c r="F41" s="3">
        <f>$C$43*E41</f>
        <v>320</v>
      </c>
      <c r="G41" s="3">
        <v>571</v>
      </c>
      <c r="H41" s="3">
        <v>571</v>
      </c>
      <c r="I41" s="3">
        <f>SUM(F41:H41)</f>
        <v>1462</v>
      </c>
    </row>
    <row r="42" spans="1:9">
      <c r="B42" s="2" t="s">
        <v>46</v>
      </c>
      <c r="C42" s="3">
        <v>1600</v>
      </c>
      <c r="D42" s="2">
        <v>2018</v>
      </c>
      <c r="E42" s="15">
        <v>0.1</v>
      </c>
      <c r="F42" s="3">
        <f t="shared" ref="F42:F45" si="1">$C$43*E42</f>
        <v>320</v>
      </c>
      <c r="I42" s="3">
        <f>SUM(F42:H42)</f>
        <v>320</v>
      </c>
    </row>
    <row r="43" spans="1:9">
      <c r="B43" s="16" t="s">
        <v>47</v>
      </c>
      <c r="C43" s="17">
        <f>SUM(C41:C42)</f>
        <v>3200</v>
      </c>
      <c r="D43" s="2">
        <v>2019</v>
      </c>
      <c r="E43" s="15">
        <v>0.3</v>
      </c>
      <c r="F43" s="3">
        <f t="shared" si="1"/>
        <v>960</v>
      </c>
      <c r="I43" s="3">
        <f>SUM(F43:H43)</f>
        <v>960</v>
      </c>
    </row>
    <row r="44" spans="1:9">
      <c r="D44" s="2">
        <v>2020</v>
      </c>
      <c r="E44" s="15">
        <v>0.3</v>
      </c>
      <c r="F44" s="3">
        <f t="shared" si="1"/>
        <v>960</v>
      </c>
      <c r="I44" s="3">
        <f>SUM(F44:H44)</f>
        <v>960</v>
      </c>
    </row>
    <row r="45" spans="1:9">
      <c r="D45" s="2">
        <v>2021</v>
      </c>
      <c r="E45" s="15">
        <v>0.2</v>
      </c>
      <c r="F45" s="3">
        <f t="shared" si="1"/>
        <v>640</v>
      </c>
      <c r="I45" s="3">
        <f>SUM(F45:H45)</f>
        <v>640</v>
      </c>
    </row>
    <row r="46" spans="1:9">
      <c r="H46" s="2" t="s">
        <v>48</v>
      </c>
      <c r="I46" s="2">
        <f>SUM(Equity_5_yrs)</f>
        <v>4342</v>
      </c>
    </row>
    <row r="47" spans="1:9">
      <c r="B47" s="2" t="s">
        <v>44</v>
      </c>
      <c r="C47" s="3">
        <v>571</v>
      </c>
      <c r="D47" s="38">
        <v>2017</v>
      </c>
      <c r="F47" s="41">
        <f>C47+C48</f>
        <v>1142</v>
      </c>
    </row>
    <row r="48" spans="1:9">
      <c r="B48" s="2" t="s">
        <v>49</v>
      </c>
      <c r="C48" s="3">
        <v>571</v>
      </c>
      <c r="D48" s="38"/>
      <c r="F48" s="38"/>
    </row>
    <row r="50" spans="4:6">
      <c r="D50" s="38" t="s">
        <v>50</v>
      </c>
      <c r="E50" s="2" t="s">
        <v>51</v>
      </c>
      <c r="F50" s="6">
        <f>1600/4342</f>
        <v>0.36849378166743435</v>
      </c>
    </row>
    <row r="51" spans="4:6">
      <c r="D51" s="38"/>
      <c r="E51" s="2" t="s">
        <v>6</v>
      </c>
      <c r="F51" s="19">
        <f>F50</f>
        <v>0.36849378166743435</v>
      </c>
    </row>
    <row r="52" spans="4:6">
      <c r="D52" s="2" t="s">
        <v>52</v>
      </c>
      <c r="E52" s="2" t="s">
        <v>8</v>
      </c>
      <c r="F52" s="6">
        <f>571/4342</f>
        <v>0.13150621833256565</v>
      </c>
    </row>
    <row r="53" spans="4:6">
      <c r="E53" s="2" t="s">
        <v>9</v>
      </c>
      <c r="F53" s="6">
        <f>571/4342</f>
        <v>0.13150621833256565</v>
      </c>
    </row>
  </sheetData>
  <mergeCells count="13">
    <mergeCell ref="A39:C39"/>
    <mergeCell ref="D47:D48"/>
    <mergeCell ref="F47:F48"/>
    <mergeCell ref="D50:D51"/>
    <mergeCell ref="A22:C22"/>
    <mergeCell ref="A18:C18"/>
    <mergeCell ref="A31:B31"/>
    <mergeCell ref="A4:A5"/>
    <mergeCell ref="A6:A7"/>
    <mergeCell ref="A8:A9"/>
    <mergeCell ref="A10:A11"/>
    <mergeCell ref="A12:A13"/>
    <mergeCell ref="A15:A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BB27-0AB6-4499-A7A6-130F2B0F09EC}">
  <dimension ref="A1:F9"/>
  <sheetViews>
    <sheetView zoomScale="95" zoomScaleNormal="95" workbookViewId="0">
      <selection activeCell="B3" sqref="B3:B8"/>
    </sheetView>
  </sheetViews>
  <sheetFormatPr defaultRowHeight="14.45"/>
  <cols>
    <col min="2" max="2" width="15.42578125" customWidth="1"/>
    <col min="4" max="4" width="22" customWidth="1"/>
  </cols>
  <sheetData>
    <row r="1" spans="1:6">
      <c r="B1" t="s">
        <v>53</v>
      </c>
      <c r="C1" s="8">
        <v>5.9540000000000003E-2</v>
      </c>
    </row>
    <row r="2" spans="1:6" ht="43.5">
      <c r="A2" s="27" t="s">
        <v>54</v>
      </c>
      <c r="B2" s="27"/>
      <c r="C2" s="27" t="s">
        <v>33</v>
      </c>
      <c r="D2" s="27" t="s">
        <v>55</v>
      </c>
      <c r="E2" s="27"/>
      <c r="F2" s="27" t="s">
        <v>56</v>
      </c>
    </row>
    <row r="3" spans="1:6">
      <c r="A3" s="28">
        <v>1</v>
      </c>
      <c r="B3" s="28">
        <v>2016</v>
      </c>
      <c r="C3" s="28">
        <v>-5</v>
      </c>
      <c r="D3" s="33">
        <v>0.05</v>
      </c>
      <c r="E3" s="28">
        <f t="shared" ref="E3:E8" si="0">(1+Escalation_factor)^(A3-1)</f>
        <v>1</v>
      </c>
      <c r="F3" s="28">
        <f t="shared" ref="F3:F8" si="1">Estimated_Cost*D3*E3</f>
        <v>571</v>
      </c>
    </row>
    <row r="4" spans="1:6">
      <c r="A4" s="28">
        <v>2</v>
      </c>
      <c r="B4" s="28">
        <v>2017</v>
      </c>
      <c r="C4" s="28">
        <v>-4</v>
      </c>
      <c r="D4" s="33">
        <v>0.15</v>
      </c>
      <c r="E4" s="28">
        <f t="shared" si="0"/>
        <v>1.0595399999999999</v>
      </c>
      <c r="F4" s="28">
        <f t="shared" si="1"/>
        <v>1814.9920199999999</v>
      </c>
    </row>
    <row r="5" spans="1:6">
      <c r="A5" s="28">
        <v>3</v>
      </c>
      <c r="B5" s="28">
        <v>2018</v>
      </c>
      <c r="C5" s="28">
        <v>-3</v>
      </c>
      <c r="D5" s="33">
        <v>0.2</v>
      </c>
      <c r="E5" s="28">
        <f t="shared" si="0"/>
        <v>1.1226250115999998</v>
      </c>
      <c r="F5" s="28">
        <f t="shared" si="1"/>
        <v>2564.0755264943996</v>
      </c>
    </row>
    <row r="6" spans="1:6">
      <c r="A6" s="28">
        <v>4</v>
      </c>
      <c r="B6" s="28">
        <v>2019</v>
      </c>
      <c r="C6" s="28">
        <v>-2</v>
      </c>
      <c r="D6" s="33">
        <v>0.25</v>
      </c>
      <c r="E6" s="28">
        <f t="shared" si="0"/>
        <v>1.1894661047906638</v>
      </c>
      <c r="F6" s="28">
        <f t="shared" si="1"/>
        <v>3395.9257291773451</v>
      </c>
    </row>
    <row r="7" spans="1:6">
      <c r="A7" s="28">
        <v>5</v>
      </c>
      <c r="B7" s="28">
        <v>2020</v>
      </c>
      <c r="C7" s="28">
        <v>-1</v>
      </c>
      <c r="D7" s="33">
        <v>0.25</v>
      </c>
      <c r="E7" s="28">
        <f t="shared" si="0"/>
        <v>1.2602869166698998</v>
      </c>
      <c r="F7" s="28">
        <f t="shared" si="1"/>
        <v>3598.1191470925637</v>
      </c>
    </row>
    <row r="8" spans="1:6">
      <c r="A8" s="28">
        <v>6</v>
      </c>
      <c r="B8" s="28">
        <v>2021</v>
      </c>
      <c r="C8" s="28">
        <v>0</v>
      </c>
      <c r="D8" s="33">
        <v>0.1</v>
      </c>
      <c r="E8" s="28">
        <f t="shared" si="0"/>
        <v>1.3353243996884254</v>
      </c>
      <c r="F8" s="28">
        <f t="shared" si="1"/>
        <v>1524.9404644441818</v>
      </c>
    </row>
    <row r="9" spans="1:6">
      <c r="A9" t="s">
        <v>47</v>
      </c>
      <c r="F9">
        <f>SUM(F3:F8)</f>
        <v>13469.052887208491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A62-1458-43E6-BFF2-2FA7F142AF35}">
  <dimension ref="A1:O42"/>
  <sheetViews>
    <sheetView tabSelected="1" topLeftCell="A18" workbookViewId="0">
      <selection activeCell="F37" sqref="F37:O40"/>
    </sheetView>
  </sheetViews>
  <sheetFormatPr defaultRowHeight="14.45"/>
  <cols>
    <col min="1" max="3" width="9.140625" customWidth="1"/>
    <col min="6" max="6" width="18.42578125" bestFit="1" customWidth="1"/>
  </cols>
  <sheetData>
    <row r="1" spans="1:4" ht="15">
      <c r="A1" t="s">
        <v>42</v>
      </c>
      <c r="B1" t="s">
        <v>16</v>
      </c>
      <c r="C1" t="s">
        <v>20</v>
      </c>
      <c r="D1" t="s">
        <v>57</v>
      </c>
    </row>
    <row r="2" spans="1:4" ht="15">
      <c r="A2" s="28">
        <v>2016</v>
      </c>
      <c r="D2" cm="1">
        <f t="array" ref="D2:D42">EBITDA</f>
        <v>0</v>
      </c>
    </row>
    <row r="3" spans="1:4" ht="15">
      <c r="A3" s="28">
        <v>2017</v>
      </c>
      <c r="D3">
        <v>0</v>
      </c>
    </row>
    <row r="4" spans="1:4" ht="15">
      <c r="A4" s="28">
        <v>2018</v>
      </c>
      <c r="D4">
        <v>0</v>
      </c>
    </row>
    <row r="5" spans="1:4" ht="15">
      <c r="A5" s="28">
        <v>2019</v>
      </c>
      <c r="D5">
        <v>0</v>
      </c>
    </row>
    <row r="6" spans="1:4" ht="15">
      <c r="A6" s="28">
        <v>2020</v>
      </c>
      <c r="D6">
        <v>0</v>
      </c>
    </row>
    <row r="7" spans="1:4" ht="15">
      <c r="A7" s="28">
        <v>2021</v>
      </c>
      <c r="D7">
        <v>0</v>
      </c>
    </row>
    <row r="8" spans="1:4" ht="15">
      <c r="A8" s="28">
        <v>2022</v>
      </c>
      <c r="B8" cm="1">
        <f t="array" ref="B8:B42">Total_revenue_Crs</f>
        <v>122.64</v>
      </c>
      <c r="C8" cm="1">
        <f t="array" ref="C8:C42">Total_o_M_cost_Crs</f>
        <v>263.98</v>
      </c>
      <c r="D8">
        <v>-141.34000000000003</v>
      </c>
    </row>
    <row r="9" spans="1:4">
      <c r="A9" s="28">
        <v>2023</v>
      </c>
      <c r="B9">
        <v>245.28</v>
      </c>
      <c r="C9">
        <v>279.80125000000004</v>
      </c>
      <c r="D9">
        <v>-34.521250000000038</v>
      </c>
    </row>
    <row r="10" spans="1:4">
      <c r="A10" s="28">
        <v>2024</v>
      </c>
      <c r="B10">
        <v>270.4212</v>
      </c>
      <c r="C10">
        <v>294.73312250000004</v>
      </c>
      <c r="D10">
        <v>-24.311922500000037</v>
      </c>
    </row>
    <row r="11" spans="1:4">
      <c r="A11" s="28">
        <v>2025</v>
      </c>
      <c r="B11">
        <v>283.94226000000003</v>
      </c>
      <c r="C11">
        <v>310.46809722500007</v>
      </c>
      <c r="D11">
        <v>-26.525837225000032</v>
      </c>
    </row>
    <row r="12" spans="1:4">
      <c r="A12" s="28">
        <v>2026</v>
      </c>
      <c r="B12">
        <v>313.04634165000004</v>
      </c>
      <c r="C12">
        <v>327.04971980225002</v>
      </c>
      <c r="D12">
        <v>-14.003378152249979</v>
      </c>
    </row>
    <row r="13" spans="1:4">
      <c r="A13" s="28">
        <v>2027</v>
      </c>
      <c r="B13">
        <v>328.69865873250006</v>
      </c>
      <c r="C13">
        <v>344.52391657132256</v>
      </c>
      <c r="D13">
        <v>-15.825257838822495</v>
      </c>
    </row>
    <row r="14" spans="1:4">
      <c r="A14" s="28">
        <v>2028</v>
      </c>
      <c r="B14">
        <v>362.39027125258133</v>
      </c>
      <c r="C14">
        <v>362.9391258255863</v>
      </c>
      <c r="D14">
        <v>-0.54885457300497364</v>
      </c>
    </row>
    <row r="15" spans="1:4">
      <c r="A15" s="28">
        <v>2029</v>
      </c>
      <c r="B15">
        <v>380.50978481521031</v>
      </c>
      <c r="C15">
        <v>382.3464363481051</v>
      </c>
      <c r="D15">
        <v>-1.8366515328947912</v>
      </c>
    </row>
    <row r="16" spans="1:4">
      <c r="A16" s="28">
        <v>2030</v>
      </c>
      <c r="B16">
        <v>419.51203775876934</v>
      </c>
      <c r="C16">
        <v>402.79973365062426</v>
      </c>
      <c r="D16">
        <v>16.712304108145076</v>
      </c>
    </row>
    <row r="17" spans="1:15">
      <c r="A17" s="28">
        <v>2031</v>
      </c>
      <c r="B17">
        <v>440.48763964670781</v>
      </c>
      <c r="C17">
        <v>424.35585434737607</v>
      </c>
      <c r="D17">
        <v>16.131785299331739</v>
      </c>
    </row>
    <row r="18" spans="1:15">
      <c r="A18" s="28">
        <v>2032</v>
      </c>
      <c r="B18">
        <v>485.63762271049552</v>
      </c>
      <c r="C18">
        <v>447.07474911981882</v>
      </c>
      <c r="D18">
        <v>38.562873590676702</v>
      </c>
    </row>
    <row r="19" spans="1:15">
      <c r="A19" s="28">
        <v>2033</v>
      </c>
      <c r="B19">
        <v>509.91950384602029</v>
      </c>
      <c r="C19">
        <v>471.0196547541882</v>
      </c>
      <c r="D19">
        <v>38.899849091832095</v>
      </c>
    </row>
    <row r="20" spans="1:15">
      <c r="A20" s="28">
        <v>2034</v>
      </c>
      <c r="B20">
        <v>562.18625299023734</v>
      </c>
      <c r="C20">
        <v>496.25727576097859</v>
      </c>
      <c r="D20">
        <v>65.928977229258749</v>
      </c>
    </row>
    <row r="21" spans="1:15">
      <c r="A21" s="28">
        <v>2035</v>
      </c>
      <c r="B21">
        <v>590.29556563974916</v>
      </c>
      <c r="C21">
        <v>522.85797611425346</v>
      </c>
      <c r="D21">
        <v>67.437589525495696</v>
      </c>
    </row>
    <row r="22" spans="1:15">
      <c r="A22" s="28">
        <v>2036</v>
      </c>
      <c r="B22">
        <v>650.80086111782373</v>
      </c>
      <c r="C22">
        <v>550.8959816791056</v>
      </c>
      <c r="D22">
        <v>99.904879438718126</v>
      </c>
    </row>
    <row r="23" spans="1:15">
      <c r="A23" s="28">
        <v>2037</v>
      </c>
      <c r="B23">
        <v>683.34090417371488</v>
      </c>
      <c r="C23">
        <v>580.44959392774877</v>
      </c>
      <c r="D23">
        <v>102.89131024596611</v>
      </c>
    </row>
    <row r="24" spans="1:15">
      <c r="A24" s="28">
        <v>2038</v>
      </c>
      <c r="B24">
        <v>753.38334685152063</v>
      </c>
      <c r="C24">
        <v>611.6014155787052</v>
      </c>
      <c r="D24">
        <v>141.78193127281543</v>
      </c>
    </row>
    <row r="25" spans="1:15">
      <c r="A25" s="28">
        <v>2039</v>
      </c>
      <c r="B25">
        <v>791.05251419409672</v>
      </c>
      <c r="C25">
        <v>644.43858882948371</v>
      </c>
      <c r="D25">
        <v>146.61392536461301</v>
      </c>
    </row>
    <row r="26" spans="1:15">
      <c r="A26" s="28">
        <v>2040</v>
      </c>
      <c r="B26">
        <v>872.13539689899164</v>
      </c>
      <c r="C26">
        <v>679.05304689111176</v>
      </c>
      <c r="D26">
        <v>193.08235000787988</v>
      </c>
    </row>
    <row r="27" spans="1:15">
      <c r="A27" s="28">
        <v>2041</v>
      </c>
      <c r="B27">
        <v>915.7421667439412</v>
      </c>
      <c r="C27">
        <v>715.54177957303045</v>
      </c>
      <c r="D27">
        <v>200.20038717091074</v>
      </c>
    </row>
    <row r="28" spans="1:15">
      <c r="A28" s="28">
        <v>2042</v>
      </c>
      <c r="B28">
        <v>1009.6057388351952</v>
      </c>
      <c r="C28">
        <v>754.00711370928684</v>
      </c>
      <c r="D28">
        <v>255.59862512590837</v>
      </c>
    </row>
    <row r="29" spans="1:15">
      <c r="A29" s="28">
        <v>2043</v>
      </c>
      <c r="B29">
        <v>1060.0860257769548</v>
      </c>
      <c r="C29">
        <v>794.55700926181225</v>
      </c>
      <c r="D29">
        <v>265.52901651514253</v>
      </c>
    </row>
    <row r="30" spans="1:15">
      <c r="A30" s="28">
        <v>2044</v>
      </c>
      <c r="B30">
        <v>1168.7448434190928</v>
      </c>
      <c r="C30">
        <v>837.3053719839877</v>
      </c>
      <c r="D30">
        <v>331.43947143510513</v>
      </c>
    </row>
    <row r="31" spans="1:15" ht="15">
      <c r="A31" s="28">
        <v>2045</v>
      </c>
      <c r="B31">
        <v>1227.1820855900476</v>
      </c>
      <c r="C31">
        <v>882.37238357781712</v>
      </c>
      <c r="D31">
        <v>344.80970201223045</v>
      </c>
    </row>
    <row r="32" spans="1:15" ht="15">
      <c r="A32" s="28">
        <v>2046</v>
      </c>
      <c r="B32">
        <v>1352.9682493630276</v>
      </c>
      <c r="C32">
        <v>929.88485033101563</v>
      </c>
      <c r="D32">
        <v>423.08339903201193</v>
      </c>
      <c r="F32" s="42" t="s">
        <v>58</v>
      </c>
      <c r="G32" s="43"/>
      <c r="H32" s="43"/>
      <c r="I32" s="44"/>
      <c r="J32" s="44"/>
      <c r="K32" s="44"/>
      <c r="L32" s="44"/>
      <c r="M32" s="44"/>
      <c r="N32" s="44"/>
      <c r="O32" s="44"/>
    </row>
    <row r="33" spans="1:15" ht="14.45" customHeight="1">
      <c r="A33" s="28">
        <v>2047</v>
      </c>
      <c r="B33">
        <v>1420.6166618311788</v>
      </c>
      <c r="C33">
        <v>979.97657127633249</v>
      </c>
      <c r="D33">
        <v>440.64009055484632</v>
      </c>
      <c r="F33" s="49" t="s">
        <v>59</v>
      </c>
      <c r="G33" s="50"/>
      <c r="H33" s="50"/>
      <c r="I33" s="51" t="s">
        <v>60</v>
      </c>
      <c r="J33" s="52"/>
      <c r="K33" s="52"/>
      <c r="L33" s="53" t="s">
        <v>61</v>
      </c>
      <c r="M33" s="54"/>
      <c r="N33" s="54"/>
      <c r="O33" s="54"/>
    </row>
    <row r="34" spans="1:15" ht="15">
      <c r="A34" s="28">
        <v>2048</v>
      </c>
      <c r="B34">
        <v>1566.2298696688749</v>
      </c>
      <c r="C34">
        <v>1032.7887269746413</v>
      </c>
      <c r="D34">
        <v>533.44114269423358</v>
      </c>
      <c r="F34" s="55" t="s">
        <v>62</v>
      </c>
      <c r="G34" s="56"/>
      <c r="H34" s="56"/>
      <c r="I34" s="57" t="s">
        <v>63</v>
      </c>
      <c r="J34" s="58"/>
      <c r="K34" s="58"/>
      <c r="L34" s="59" t="s">
        <v>64</v>
      </c>
      <c r="M34" s="60"/>
      <c r="N34" s="60"/>
      <c r="O34" s="60"/>
    </row>
    <row r="35" spans="1:15" ht="15">
      <c r="A35" s="28">
        <v>2049</v>
      </c>
      <c r="B35">
        <v>1644.541363152319</v>
      </c>
      <c r="C35">
        <v>1088.4702900859352</v>
      </c>
      <c r="D35">
        <v>556.07107306638386</v>
      </c>
      <c r="F35" s="49" t="s">
        <v>65</v>
      </c>
      <c r="G35" s="50"/>
      <c r="H35" s="50"/>
      <c r="I35" s="51" t="s">
        <v>66</v>
      </c>
      <c r="J35" s="52"/>
      <c r="K35" s="52"/>
      <c r="L35" s="53" t="s">
        <v>67</v>
      </c>
      <c r="M35" s="54"/>
      <c r="N35" s="54"/>
      <c r="O35" s="54"/>
    </row>
    <row r="36" spans="1:15" ht="15">
      <c r="A36" s="28">
        <v>2050</v>
      </c>
      <c r="B36">
        <v>1813.1068528754311</v>
      </c>
      <c r="C36">
        <v>1147.1784589585473</v>
      </c>
      <c r="D36">
        <v>665.92839391688381</v>
      </c>
      <c r="F36" s="55" t="s">
        <v>68</v>
      </c>
      <c r="G36" s="56"/>
      <c r="H36" s="56"/>
      <c r="I36" s="57" t="s">
        <v>69</v>
      </c>
      <c r="J36" s="58"/>
      <c r="K36" s="58"/>
      <c r="L36" s="59" t="s">
        <v>70</v>
      </c>
      <c r="M36" s="60"/>
      <c r="N36" s="60"/>
      <c r="O36" s="60"/>
    </row>
    <row r="37" spans="1:15" ht="15">
      <c r="A37" s="28">
        <v>2051</v>
      </c>
      <c r="B37">
        <v>1903.762195519203</v>
      </c>
      <c r="C37">
        <v>1209.079115536889</v>
      </c>
      <c r="D37">
        <v>694.68307998231398</v>
      </c>
      <c r="F37" s="49"/>
      <c r="G37" s="50"/>
      <c r="H37" s="50"/>
      <c r="I37" s="51"/>
      <c r="J37" s="52"/>
      <c r="K37" s="52"/>
      <c r="L37" s="53"/>
      <c r="M37" s="54"/>
      <c r="N37" s="54"/>
      <c r="O37" s="54"/>
    </row>
    <row r="38" spans="1:15" ht="15">
      <c r="A38" s="28">
        <v>2052</v>
      </c>
      <c r="B38">
        <v>2098.8978205599224</v>
      </c>
      <c r="C38">
        <v>1274.3473089619724</v>
      </c>
      <c r="D38">
        <v>824.55051159794994</v>
      </c>
      <c r="F38" s="55"/>
      <c r="G38" s="56"/>
      <c r="H38" s="56"/>
      <c r="I38" s="57"/>
      <c r="J38" s="58"/>
      <c r="K38" s="58"/>
      <c r="L38" s="59"/>
      <c r="M38" s="60"/>
      <c r="N38" s="60"/>
      <c r="O38" s="60"/>
    </row>
    <row r="39" spans="1:15" ht="15">
      <c r="A39" s="28">
        <v>2053</v>
      </c>
      <c r="B39">
        <v>2203.8427115879181</v>
      </c>
      <c r="C39">
        <v>1343.1677663172045</v>
      </c>
      <c r="D39">
        <v>860.67494527071358</v>
      </c>
      <c r="F39" s="49"/>
      <c r="G39" s="50"/>
      <c r="H39" s="50"/>
      <c r="I39" s="51"/>
      <c r="J39" s="52"/>
      <c r="K39" s="52"/>
      <c r="L39" s="53"/>
      <c r="M39" s="54"/>
      <c r="N39" s="54"/>
      <c r="O39" s="54"/>
    </row>
    <row r="40" spans="1:15" ht="15">
      <c r="A40" s="28">
        <v>2054</v>
      </c>
      <c r="B40">
        <v>2429.7365895256798</v>
      </c>
      <c r="C40">
        <v>1415.7354320546265</v>
      </c>
      <c r="D40">
        <v>1014.0011574710534</v>
      </c>
      <c r="F40" s="55"/>
      <c r="G40" s="56"/>
      <c r="H40" s="56"/>
      <c r="I40" s="57"/>
      <c r="J40" s="58"/>
      <c r="K40" s="58"/>
      <c r="L40" s="59"/>
      <c r="M40" s="60"/>
      <c r="N40" s="60"/>
      <c r="O40" s="60"/>
    </row>
    <row r="41" spans="1:15" ht="15">
      <c r="A41" s="28">
        <v>2055</v>
      </c>
      <c r="B41">
        <v>2551.2234190019631</v>
      </c>
      <c r="C41">
        <v>1492.2560377242128</v>
      </c>
      <c r="D41">
        <v>1058.9673812777503</v>
      </c>
    </row>
    <row r="42" spans="1:15">
      <c r="A42" s="28">
        <v>2056</v>
      </c>
      <c r="B42">
        <v>2812.7238194496658</v>
      </c>
      <c r="C42">
        <v>1572.9467037212899</v>
      </c>
      <c r="D42">
        <v>1239.777115728376</v>
      </c>
    </row>
  </sheetData>
  <mergeCells count="27">
    <mergeCell ref="I34:K34"/>
    <mergeCell ref="L34:O34"/>
    <mergeCell ref="F40:H40"/>
    <mergeCell ref="I40:K40"/>
    <mergeCell ref="L40:O40"/>
    <mergeCell ref="F37:H37"/>
    <mergeCell ref="I37:K37"/>
    <mergeCell ref="L37:O37"/>
    <mergeCell ref="F38:H38"/>
    <mergeCell ref="I38:K38"/>
    <mergeCell ref="L38:O38"/>
    <mergeCell ref="F32:H32"/>
    <mergeCell ref="I32:K32"/>
    <mergeCell ref="L32:O32"/>
    <mergeCell ref="F39:H39"/>
    <mergeCell ref="I39:K39"/>
    <mergeCell ref="L39:O39"/>
    <mergeCell ref="F35:H35"/>
    <mergeCell ref="I35:K35"/>
    <mergeCell ref="L35:O35"/>
    <mergeCell ref="F36:H36"/>
    <mergeCell ref="I36:K36"/>
    <mergeCell ref="L36:O36"/>
    <mergeCell ref="F33:H33"/>
    <mergeCell ref="I33:K33"/>
    <mergeCell ref="L33:O33"/>
    <mergeCell ref="F34:H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69B16-643F-48AB-BF00-08B7914840EF}">
  <dimension ref="A1:J39"/>
  <sheetViews>
    <sheetView topLeftCell="B5" zoomScale="96" zoomScaleNormal="96" workbookViewId="0">
      <selection activeCell="C3" sqref="C3:C37"/>
    </sheetView>
  </sheetViews>
  <sheetFormatPr defaultRowHeight="14.45"/>
  <cols>
    <col min="2" max="2" width="30.28515625" customWidth="1"/>
    <col min="3" max="3" width="9.7109375" customWidth="1"/>
    <col min="4" max="4" width="17.85546875" customWidth="1"/>
    <col min="5" max="5" width="19.5703125" customWidth="1"/>
    <col min="6" max="6" width="10.85546875" customWidth="1"/>
    <col min="7" max="7" width="20.28515625" customWidth="1"/>
    <col min="8" max="8" width="20.7109375" customWidth="1"/>
    <col min="9" max="9" width="23.5703125" bestFit="1" customWidth="1"/>
    <col min="10" max="10" width="18" customWidth="1"/>
  </cols>
  <sheetData>
    <row r="1" spans="1:10">
      <c r="B1" t="s">
        <v>71</v>
      </c>
    </row>
    <row r="2" spans="1:10" ht="29.25">
      <c r="A2" s="27" t="s">
        <v>54</v>
      </c>
      <c r="B2" s="27"/>
      <c r="C2" s="27"/>
      <c r="D2" s="27" t="s">
        <v>72</v>
      </c>
      <c r="E2" s="27" t="s">
        <v>73</v>
      </c>
      <c r="F2" s="27"/>
      <c r="G2" s="27" t="s">
        <v>74</v>
      </c>
      <c r="H2" s="27" t="s">
        <v>75</v>
      </c>
      <c r="I2" s="27" t="s">
        <v>76</v>
      </c>
      <c r="J2" s="27" t="s">
        <v>77</v>
      </c>
    </row>
    <row r="3" spans="1:10">
      <c r="A3" s="28">
        <v>1</v>
      </c>
      <c r="B3" s="28" t="s">
        <v>78</v>
      </c>
      <c r="C3" s="28">
        <v>2022</v>
      </c>
      <c r="D3" s="30">
        <v>100000</v>
      </c>
      <c r="E3" s="30">
        <f>D3*365</f>
        <v>36500000</v>
      </c>
      <c r="F3" s="29">
        <f>30*(1+5%)^INT((A3-1)/2)</f>
        <v>30</v>
      </c>
      <c r="G3" s="29">
        <f>E3*F3</f>
        <v>1095000000</v>
      </c>
      <c r="H3" s="29">
        <f>G3/10000000</f>
        <v>109.5</v>
      </c>
      <c r="I3" s="29">
        <f t="shared" ref="I3:I37" si="0">Non_farebox_farebox*H3</f>
        <v>13.139999999999999</v>
      </c>
      <c r="J3" s="29">
        <f>H3+I3</f>
        <v>122.64</v>
      </c>
    </row>
    <row r="4" spans="1:10">
      <c r="A4" s="28">
        <v>2</v>
      </c>
      <c r="B4" s="28" t="s">
        <v>79</v>
      </c>
      <c r="C4" s="28">
        <v>2023</v>
      </c>
      <c r="D4" s="31">
        <v>200000</v>
      </c>
      <c r="E4" s="30">
        <f t="shared" ref="E4:E37" si="1">D4*365</f>
        <v>73000000</v>
      </c>
      <c r="F4" s="29">
        <f>30*(1+5%)^INT((A4-1)/2)</f>
        <v>30</v>
      </c>
      <c r="G4" s="29">
        <f t="shared" ref="G4:G37" si="2">E4*F4</f>
        <v>2190000000</v>
      </c>
      <c r="H4" s="29">
        <f t="shared" ref="H4:H37" si="3">G4/10000000</f>
        <v>219</v>
      </c>
      <c r="I4" s="29">
        <f t="shared" si="0"/>
        <v>26.279999999999998</v>
      </c>
      <c r="J4" s="29">
        <f t="shared" ref="J4:J37" si="4">H4+I4</f>
        <v>245.28</v>
      </c>
    </row>
    <row r="5" spans="1:10">
      <c r="A5" s="28">
        <v>3</v>
      </c>
      <c r="B5" s="28" t="s">
        <v>80</v>
      </c>
      <c r="C5" s="28">
        <v>2024</v>
      </c>
      <c r="D5" s="32">
        <f>D4*(1+5%)</f>
        <v>210000</v>
      </c>
      <c r="E5" s="30">
        <f t="shared" si="1"/>
        <v>76650000</v>
      </c>
      <c r="F5" s="29">
        <f>30*((1+5%)^INT((A5-1)/2))</f>
        <v>31.5</v>
      </c>
      <c r="G5" s="29">
        <f t="shared" si="2"/>
        <v>2414475000</v>
      </c>
      <c r="H5" s="29">
        <f t="shared" si="3"/>
        <v>241.44749999999999</v>
      </c>
      <c r="I5" s="29">
        <f t="shared" si="0"/>
        <v>28.973699999999997</v>
      </c>
      <c r="J5" s="29">
        <f t="shared" si="4"/>
        <v>270.4212</v>
      </c>
    </row>
    <row r="6" spans="1:10">
      <c r="A6" s="28">
        <v>4</v>
      </c>
      <c r="B6" s="28" t="s">
        <v>81</v>
      </c>
      <c r="C6" s="28">
        <v>2025</v>
      </c>
      <c r="D6" s="32">
        <f t="shared" ref="D6:D37" si="5">D5*(1+5%)</f>
        <v>220500</v>
      </c>
      <c r="E6" s="30">
        <f t="shared" si="1"/>
        <v>80482500</v>
      </c>
      <c r="F6" s="29">
        <f t="shared" ref="F6:F37" si="6">30*((1+5%)^INT((A6-1)/2))</f>
        <v>31.5</v>
      </c>
      <c r="G6" s="29">
        <f t="shared" si="2"/>
        <v>2535198750</v>
      </c>
      <c r="H6" s="29">
        <f t="shared" si="3"/>
        <v>253.51987500000001</v>
      </c>
      <c r="I6" s="29">
        <f t="shared" si="0"/>
        <v>30.422385000000002</v>
      </c>
      <c r="J6" s="29">
        <f t="shared" si="4"/>
        <v>283.94226000000003</v>
      </c>
    </row>
    <row r="7" spans="1:10">
      <c r="A7" s="28">
        <v>5</v>
      </c>
      <c r="B7" s="28" t="s">
        <v>82</v>
      </c>
      <c r="C7" s="28">
        <v>2026</v>
      </c>
      <c r="D7" s="32">
        <f t="shared" si="5"/>
        <v>231525</v>
      </c>
      <c r="E7" s="30">
        <f t="shared" si="1"/>
        <v>84506625</v>
      </c>
      <c r="F7" s="29">
        <f t="shared" si="6"/>
        <v>33.075000000000003</v>
      </c>
      <c r="G7" s="29">
        <f t="shared" si="2"/>
        <v>2795056621.8750005</v>
      </c>
      <c r="H7" s="29">
        <f t="shared" si="3"/>
        <v>279.50566218750004</v>
      </c>
      <c r="I7" s="29">
        <f t="shared" si="0"/>
        <v>33.540679462500002</v>
      </c>
      <c r="J7" s="29">
        <f t="shared" si="4"/>
        <v>313.04634165000004</v>
      </c>
    </row>
    <row r="8" spans="1:10">
      <c r="A8" s="28">
        <v>6</v>
      </c>
      <c r="B8" s="28" t="s">
        <v>83</v>
      </c>
      <c r="C8" s="28">
        <v>2027</v>
      </c>
      <c r="D8" s="32">
        <f t="shared" si="5"/>
        <v>243101.25</v>
      </c>
      <c r="E8" s="30">
        <f t="shared" si="1"/>
        <v>88731956.25</v>
      </c>
      <c r="F8" s="29">
        <f t="shared" si="6"/>
        <v>33.075000000000003</v>
      </c>
      <c r="G8" s="29">
        <f t="shared" si="2"/>
        <v>2934809452.9687505</v>
      </c>
      <c r="H8" s="29">
        <f t="shared" si="3"/>
        <v>293.48094529687506</v>
      </c>
      <c r="I8" s="29">
        <f t="shared" si="0"/>
        <v>35.217713435625008</v>
      </c>
      <c r="J8" s="29">
        <f t="shared" si="4"/>
        <v>328.69865873250006</v>
      </c>
    </row>
    <row r="9" spans="1:10">
      <c r="A9" s="28">
        <v>7</v>
      </c>
      <c r="B9" s="28" t="s">
        <v>84</v>
      </c>
      <c r="C9" s="28">
        <v>2028</v>
      </c>
      <c r="D9" s="32">
        <f t="shared" si="5"/>
        <v>255256.3125</v>
      </c>
      <c r="E9" s="30">
        <f t="shared" si="1"/>
        <v>93168554.0625</v>
      </c>
      <c r="F9" s="29">
        <f t="shared" si="6"/>
        <v>34.728750000000005</v>
      </c>
      <c r="G9" s="29">
        <f t="shared" si="2"/>
        <v>3235627421.8980474</v>
      </c>
      <c r="H9" s="29">
        <f t="shared" si="3"/>
        <v>323.56274218980474</v>
      </c>
      <c r="I9" s="29">
        <f t="shared" si="0"/>
        <v>38.82752906277657</v>
      </c>
      <c r="J9" s="29">
        <f t="shared" si="4"/>
        <v>362.39027125258133</v>
      </c>
    </row>
    <row r="10" spans="1:10">
      <c r="A10" s="28">
        <v>8</v>
      </c>
      <c r="B10" s="28" t="s">
        <v>85</v>
      </c>
      <c r="C10" s="28">
        <v>2029</v>
      </c>
      <c r="D10" s="32">
        <f t="shared" si="5"/>
        <v>268019.12812499999</v>
      </c>
      <c r="E10" s="30">
        <f t="shared" si="1"/>
        <v>97826981.765625</v>
      </c>
      <c r="F10" s="29">
        <f t="shared" si="6"/>
        <v>34.728750000000005</v>
      </c>
      <c r="G10" s="29">
        <f t="shared" si="2"/>
        <v>3397408792.9929495</v>
      </c>
      <c r="H10" s="29">
        <f t="shared" si="3"/>
        <v>339.74087929929493</v>
      </c>
      <c r="I10" s="29">
        <f t="shared" si="0"/>
        <v>40.768905515915392</v>
      </c>
      <c r="J10" s="29">
        <f t="shared" si="4"/>
        <v>380.50978481521031</v>
      </c>
    </row>
    <row r="11" spans="1:10">
      <c r="A11" s="28">
        <v>9</v>
      </c>
      <c r="B11" s="28" t="s">
        <v>86</v>
      </c>
      <c r="C11" s="28">
        <v>2030</v>
      </c>
      <c r="D11" s="32">
        <f t="shared" si="5"/>
        <v>281420.08453125</v>
      </c>
      <c r="E11" s="30">
        <f t="shared" si="1"/>
        <v>102718330.85390624</v>
      </c>
      <c r="F11" s="29">
        <f t="shared" si="6"/>
        <v>36.465187499999999</v>
      </c>
      <c r="G11" s="29">
        <f t="shared" si="2"/>
        <v>3745643194.2747264</v>
      </c>
      <c r="H11" s="29">
        <f t="shared" si="3"/>
        <v>374.56431942747264</v>
      </c>
      <c r="I11" s="29">
        <f t="shared" si="0"/>
        <v>44.947718331296713</v>
      </c>
      <c r="J11" s="29">
        <f t="shared" si="4"/>
        <v>419.51203775876934</v>
      </c>
    </row>
    <row r="12" spans="1:10">
      <c r="A12" s="28">
        <v>10</v>
      </c>
      <c r="B12" s="28" t="s">
        <v>87</v>
      </c>
      <c r="C12" s="28">
        <v>2031</v>
      </c>
      <c r="D12" s="32">
        <f t="shared" si="5"/>
        <v>295491.08875781251</v>
      </c>
      <c r="E12" s="30">
        <f t="shared" si="1"/>
        <v>107854247.39660157</v>
      </c>
      <c r="F12" s="29">
        <f t="shared" si="6"/>
        <v>36.465187499999999</v>
      </c>
      <c r="G12" s="29">
        <f t="shared" si="2"/>
        <v>3932925353.9884629</v>
      </c>
      <c r="H12" s="29">
        <f t="shared" si="3"/>
        <v>393.29253539884627</v>
      </c>
      <c r="I12" s="29">
        <f t="shared" si="0"/>
        <v>47.195104247861551</v>
      </c>
      <c r="J12" s="29">
        <f t="shared" si="4"/>
        <v>440.48763964670781</v>
      </c>
    </row>
    <row r="13" spans="1:10">
      <c r="A13" s="28">
        <v>11</v>
      </c>
      <c r="B13" s="28" t="s">
        <v>88</v>
      </c>
      <c r="C13" s="28">
        <v>2032</v>
      </c>
      <c r="D13" s="32">
        <f t="shared" si="5"/>
        <v>310265.64319570316</v>
      </c>
      <c r="E13" s="30">
        <f t="shared" si="1"/>
        <v>113246959.76643166</v>
      </c>
      <c r="F13" s="29">
        <f t="shared" si="6"/>
        <v>38.288446875000005</v>
      </c>
      <c r="G13" s="29">
        <f t="shared" si="2"/>
        <v>4336050202.7722816</v>
      </c>
      <c r="H13" s="29">
        <f t="shared" si="3"/>
        <v>433.60502027722816</v>
      </c>
      <c r="I13" s="29">
        <f t="shared" si="0"/>
        <v>52.032602433267378</v>
      </c>
      <c r="J13" s="29">
        <f t="shared" si="4"/>
        <v>485.63762271049552</v>
      </c>
    </row>
    <row r="14" spans="1:10">
      <c r="A14" s="28">
        <v>12</v>
      </c>
      <c r="B14" s="28" t="s">
        <v>89</v>
      </c>
      <c r="C14" s="28">
        <v>2033</v>
      </c>
      <c r="D14" s="32">
        <f t="shared" si="5"/>
        <v>325778.92535548832</v>
      </c>
      <c r="E14" s="30">
        <f t="shared" si="1"/>
        <v>118909307.75475323</v>
      </c>
      <c r="F14" s="29">
        <f t="shared" si="6"/>
        <v>38.288446875000005</v>
      </c>
      <c r="G14" s="29">
        <f t="shared" si="2"/>
        <v>4552852712.9108953</v>
      </c>
      <c r="H14" s="29">
        <f t="shared" si="3"/>
        <v>455.28527129108954</v>
      </c>
      <c r="I14" s="29">
        <f t="shared" si="0"/>
        <v>54.63423255493074</v>
      </c>
      <c r="J14" s="29">
        <f t="shared" si="4"/>
        <v>509.91950384602029</v>
      </c>
    </row>
    <row r="15" spans="1:10">
      <c r="A15" s="28">
        <v>13</v>
      </c>
      <c r="B15" s="28" t="s">
        <v>90</v>
      </c>
      <c r="C15" s="28">
        <v>2034</v>
      </c>
      <c r="D15" s="32">
        <f t="shared" si="5"/>
        <v>342067.87162326276</v>
      </c>
      <c r="E15" s="30">
        <f t="shared" si="1"/>
        <v>124854773.14249091</v>
      </c>
      <c r="F15" s="29">
        <f t="shared" si="6"/>
        <v>40.202869218749996</v>
      </c>
      <c r="G15" s="29">
        <f t="shared" si="2"/>
        <v>5019520115.9842615</v>
      </c>
      <c r="H15" s="29">
        <f t="shared" si="3"/>
        <v>501.95201159842617</v>
      </c>
      <c r="I15" s="29">
        <f t="shared" si="0"/>
        <v>60.234241391811139</v>
      </c>
      <c r="J15" s="29">
        <f t="shared" si="4"/>
        <v>562.18625299023734</v>
      </c>
    </row>
    <row r="16" spans="1:10">
      <c r="A16" s="28">
        <v>14</v>
      </c>
      <c r="B16" s="28" t="s">
        <v>91</v>
      </c>
      <c r="C16" s="28">
        <v>2035</v>
      </c>
      <c r="D16" s="32">
        <f t="shared" si="5"/>
        <v>359171.2652044259</v>
      </c>
      <c r="E16" s="30">
        <f t="shared" si="1"/>
        <v>131097511.79961546</v>
      </c>
      <c r="F16" s="29">
        <f t="shared" si="6"/>
        <v>40.202869218749996</v>
      </c>
      <c r="G16" s="29">
        <f t="shared" si="2"/>
        <v>5270496121.7834749</v>
      </c>
      <c r="H16" s="29">
        <f t="shared" si="3"/>
        <v>527.0496121783475</v>
      </c>
      <c r="I16" s="29">
        <f t="shared" si="0"/>
        <v>63.245953461401697</v>
      </c>
      <c r="J16" s="29">
        <f t="shared" si="4"/>
        <v>590.29556563974916</v>
      </c>
    </row>
    <row r="17" spans="1:10">
      <c r="A17" s="28">
        <v>15</v>
      </c>
      <c r="B17" s="28" t="s">
        <v>92</v>
      </c>
      <c r="C17" s="28">
        <v>2036</v>
      </c>
      <c r="D17" s="32">
        <f t="shared" si="5"/>
        <v>377129.82846464723</v>
      </c>
      <c r="E17" s="30">
        <f t="shared" si="1"/>
        <v>137652387.38959625</v>
      </c>
      <c r="F17" s="29">
        <f t="shared" si="6"/>
        <v>42.213012679687509</v>
      </c>
      <c r="G17" s="29">
        <f t="shared" si="2"/>
        <v>5810721974.266284</v>
      </c>
      <c r="H17" s="29">
        <f t="shared" si="3"/>
        <v>581.07219742662835</v>
      </c>
      <c r="I17" s="29">
        <f t="shared" si="0"/>
        <v>69.728663691195393</v>
      </c>
      <c r="J17" s="29">
        <f t="shared" si="4"/>
        <v>650.80086111782373</v>
      </c>
    </row>
    <row r="18" spans="1:10">
      <c r="A18" s="28">
        <v>16</v>
      </c>
      <c r="B18" s="28" t="s">
        <v>93</v>
      </c>
      <c r="C18" s="28">
        <v>2037</v>
      </c>
      <c r="D18" s="32">
        <f t="shared" si="5"/>
        <v>395986.3198878796</v>
      </c>
      <c r="E18" s="30">
        <f t="shared" si="1"/>
        <v>144535006.75907606</v>
      </c>
      <c r="F18" s="29">
        <f t="shared" si="6"/>
        <v>42.213012679687509</v>
      </c>
      <c r="G18" s="29">
        <f t="shared" si="2"/>
        <v>6101258072.9795971</v>
      </c>
      <c r="H18" s="29">
        <f t="shared" si="3"/>
        <v>610.12580729795968</v>
      </c>
      <c r="I18" s="29">
        <f t="shared" si="0"/>
        <v>73.215096875755165</v>
      </c>
      <c r="J18" s="29">
        <f t="shared" si="4"/>
        <v>683.34090417371488</v>
      </c>
    </row>
    <row r="19" spans="1:10">
      <c r="A19" s="28">
        <v>17</v>
      </c>
      <c r="B19" s="28" t="s">
        <v>94</v>
      </c>
      <c r="C19" s="28">
        <v>2038</v>
      </c>
      <c r="D19" s="32">
        <f t="shared" si="5"/>
        <v>415785.63588227361</v>
      </c>
      <c r="E19" s="30">
        <f t="shared" si="1"/>
        <v>151761757.09702986</v>
      </c>
      <c r="F19" s="29">
        <f t="shared" si="6"/>
        <v>44.323663313671879</v>
      </c>
      <c r="G19" s="29">
        <f t="shared" si="2"/>
        <v>6726637025.4600058</v>
      </c>
      <c r="H19" s="29">
        <f t="shared" si="3"/>
        <v>672.66370254600054</v>
      </c>
      <c r="I19" s="29">
        <f t="shared" si="0"/>
        <v>80.719644305520063</v>
      </c>
      <c r="J19" s="29">
        <f t="shared" si="4"/>
        <v>753.38334685152063</v>
      </c>
    </row>
    <row r="20" spans="1:10">
      <c r="A20" s="28">
        <v>18</v>
      </c>
      <c r="B20" s="28" t="s">
        <v>95</v>
      </c>
      <c r="C20" s="28">
        <v>2039</v>
      </c>
      <c r="D20" s="32">
        <f t="shared" si="5"/>
        <v>436574.9176763873</v>
      </c>
      <c r="E20" s="30">
        <f t="shared" si="1"/>
        <v>159349844.95188135</v>
      </c>
      <c r="F20" s="29">
        <f t="shared" si="6"/>
        <v>44.323663313671879</v>
      </c>
      <c r="G20" s="29">
        <f t="shared" si="2"/>
        <v>7062968876.7330055</v>
      </c>
      <c r="H20" s="29">
        <f t="shared" si="3"/>
        <v>706.2968876733006</v>
      </c>
      <c r="I20" s="29">
        <f t="shared" si="0"/>
        <v>84.755626520796071</v>
      </c>
      <c r="J20" s="29">
        <f t="shared" si="4"/>
        <v>791.05251419409672</v>
      </c>
    </row>
    <row r="21" spans="1:10">
      <c r="A21" s="28">
        <v>19</v>
      </c>
      <c r="B21" s="28" t="s">
        <v>96</v>
      </c>
      <c r="C21" s="28">
        <v>2040</v>
      </c>
      <c r="D21" s="32">
        <f t="shared" si="5"/>
        <v>458403.66356020665</v>
      </c>
      <c r="E21" s="30">
        <f t="shared" si="1"/>
        <v>167317337.19947544</v>
      </c>
      <c r="F21" s="29">
        <f t="shared" si="6"/>
        <v>46.539846479355475</v>
      </c>
      <c r="G21" s="29">
        <f t="shared" si="2"/>
        <v>7786923186.5981398</v>
      </c>
      <c r="H21" s="29">
        <f t="shared" si="3"/>
        <v>778.69231865981396</v>
      </c>
      <c r="I21" s="29">
        <f t="shared" si="0"/>
        <v>93.443078239177666</v>
      </c>
      <c r="J21" s="29">
        <f t="shared" si="4"/>
        <v>872.13539689899164</v>
      </c>
    </row>
    <row r="22" spans="1:10">
      <c r="A22" s="28">
        <v>20</v>
      </c>
      <c r="B22" s="28" t="s">
        <v>97</v>
      </c>
      <c r="C22" s="28">
        <v>2041</v>
      </c>
      <c r="D22" s="32">
        <f t="shared" si="5"/>
        <v>481323.84673821699</v>
      </c>
      <c r="E22" s="30">
        <f t="shared" si="1"/>
        <v>175683204.0594492</v>
      </c>
      <c r="F22" s="29">
        <f t="shared" si="6"/>
        <v>46.539846479355475</v>
      </c>
      <c r="G22" s="29">
        <f t="shared" si="2"/>
        <v>8176269345.9280462</v>
      </c>
      <c r="H22" s="29">
        <f t="shared" si="3"/>
        <v>817.62693459280467</v>
      </c>
      <c r="I22" s="29">
        <f t="shared" si="0"/>
        <v>98.115232151136553</v>
      </c>
      <c r="J22" s="29">
        <f t="shared" si="4"/>
        <v>915.7421667439412</v>
      </c>
    </row>
    <row r="23" spans="1:10">
      <c r="A23" s="28">
        <v>21</v>
      </c>
      <c r="B23" s="28" t="s">
        <v>98</v>
      </c>
      <c r="C23" s="28">
        <v>2042</v>
      </c>
      <c r="D23" s="32">
        <f t="shared" si="5"/>
        <v>505390.03907512786</v>
      </c>
      <c r="E23" s="30">
        <f t="shared" si="1"/>
        <v>184467364.26242167</v>
      </c>
      <c r="F23" s="29">
        <f t="shared" si="6"/>
        <v>48.866838803323247</v>
      </c>
      <c r="G23" s="29">
        <f t="shared" si="2"/>
        <v>9014336953.8856716</v>
      </c>
      <c r="H23" s="29">
        <f t="shared" si="3"/>
        <v>901.43369538856712</v>
      </c>
      <c r="I23" s="29">
        <f t="shared" si="0"/>
        <v>108.17204344662805</v>
      </c>
      <c r="J23" s="29">
        <f t="shared" si="4"/>
        <v>1009.6057388351952</v>
      </c>
    </row>
    <row r="24" spans="1:10">
      <c r="A24" s="28">
        <v>22</v>
      </c>
      <c r="B24" s="28" t="s">
        <v>99</v>
      </c>
      <c r="C24" s="28">
        <v>2043</v>
      </c>
      <c r="D24" s="32">
        <f t="shared" si="5"/>
        <v>530659.54102888424</v>
      </c>
      <c r="E24" s="30">
        <f t="shared" si="1"/>
        <v>193690732.47554275</v>
      </c>
      <c r="F24" s="29">
        <f t="shared" si="6"/>
        <v>48.866838803323247</v>
      </c>
      <c r="G24" s="29">
        <f t="shared" si="2"/>
        <v>9465053801.5799541</v>
      </c>
      <c r="H24" s="29">
        <f t="shared" si="3"/>
        <v>946.50538015799543</v>
      </c>
      <c r="I24" s="29">
        <f t="shared" si="0"/>
        <v>113.58064561895945</v>
      </c>
      <c r="J24" s="29">
        <f t="shared" si="4"/>
        <v>1060.0860257769548</v>
      </c>
    </row>
    <row r="25" spans="1:10">
      <c r="A25" s="28">
        <v>23</v>
      </c>
      <c r="B25" s="28" t="s">
        <v>100</v>
      </c>
      <c r="C25" s="28">
        <v>2044</v>
      </c>
      <c r="D25" s="32">
        <f t="shared" si="5"/>
        <v>557192.51808032847</v>
      </c>
      <c r="E25" s="30">
        <f t="shared" si="1"/>
        <v>203375269.09931991</v>
      </c>
      <c r="F25" s="29">
        <f t="shared" si="6"/>
        <v>51.310180743489411</v>
      </c>
      <c r="G25" s="29">
        <f t="shared" si="2"/>
        <v>10435221816.241901</v>
      </c>
      <c r="H25" s="29">
        <f t="shared" si="3"/>
        <v>1043.5221816241901</v>
      </c>
      <c r="I25" s="29">
        <f t="shared" si="0"/>
        <v>125.22266179490281</v>
      </c>
      <c r="J25" s="29">
        <f t="shared" si="4"/>
        <v>1168.7448434190928</v>
      </c>
    </row>
    <row r="26" spans="1:10">
      <c r="A26" s="28">
        <v>24</v>
      </c>
      <c r="B26" s="28" t="s">
        <v>101</v>
      </c>
      <c r="C26" s="28">
        <v>2045</v>
      </c>
      <c r="D26" s="32">
        <f t="shared" si="5"/>
        <v>585052.1439843449</v>
      </c>
      <c r="E26" s="30">
        <f t="shared" si="1"/>
        <v>213544032.55428588</v>
      </c>
      <c r="F26" s="29">
        <f t="shared" si="6"/>
        <v>51.310180743489411</v>
      </c>
      <c r="G26" s="29">
        <f t="shared" si="2"/>
        <v>10956982907.053995</v>
      </c>
      <c r="H26" s="29">
        <f t="shared" si="3"/>
        <v>1095.6982907053996</v>
      </c>
      <c r="I26" s="29">
        <f t="shared" si="0"/>
        <v>131.48379488464795</v>
      </c>
      <c r="J26" s="29">
        <f t="shared" si="4"/>
        <v>1227.1820855900476</v>
      </c>
    </row>
    <row r="27" spans="1:10">
      <c r="A27" s="28">
        <v>25</v>
      </c>
      <c r="B27" s="28" t="s">
        <v>102</v>
      </c>
      <c r="C27" s="28">
        <v>2046</v>
      </c>
      <c r="D27" s="32">
        <f t="shared" si="5"/>
        <v>614304.75118356221</v>
      </c>
      <c r="E27" s="30">
        <f t="shared" si="1"/>
        <v>224221234.18200022</v>
      </c>
      <c r="F27" s="29">
        <f t="shared" si="6"/>
        <v>53.875689780663876</v>
      </c>
      <c r="G27" s="29">
        <f t="shared" si="2"/>
        <v>12080073655.027031</v>
      </c>
      <c r="H27" s="29">
        <f t="shared" si="3"/>
        <v>1208.0073655027031</v>
      </c>
      <c r="I27" s="29">
        <f t="shared" si="0"/>
        <v>144.96088386032437</v>
      </c>
      <c r="J27" s="29">
        <f t="shared" si="4"/>
        <v>1352.9682493630276</v>
      </c>
    </row>
    <row r="28" spans="1:10">
      <c r="A28" s="28">
        <v>26</v>
      </c>
      <c r="B28" s="28" t="s">
        <v>103</v>
      </c>
      <c r="C28" s="28">
        <v>2047</v>
      </c>
      <c r="D28" s="32">
        <f t="shared" si="5"/>
        <v>645019.98874274036</v>
      </c>
      <c r="E28" s="30">
        <f t="shared" si="1"/>
        <v>235432295.89110023</v>
      </c>
      <c r="F28" s="29">
        <f t="shared" si="6"/>
        <v>53.875689780663876</v>
      </c>
      <c r="G28" s="29">
        <f t="shared" si="2"/>
        <v>12684077337.778383</v>
      </c>
      <c r="H28" s="29">
        <f t="shared" si="3"/>
        <v>1268.4077337778383</v>
      </c>
      <c r="I28" s="29">
        <f t="shared" si="0"/>
        <v>152.2089280533406</v>
      </c>
      <c r="J28" s="29">
        <f t="shared" si="4"/>
        <v>1420.6166618311788</v>
      </c>
    </row>
    <row r="29" spans="1:10">
      <c r="A29" s="28">
        <v>27</v>
      </c>
      <c r="B29" s="28" t="s">
        <v>104</v>
      </c>
      <c r="C29" s="28">
        <v>2048</v>
      </c>
      <c r="D29" s="32">
        <f t="shared" si="5"/>
        <v>677270.9881798774</v>
      </c>
      <c r="E29" s="30">
        <f t="shared" si="1"/>
        <v>247203910.68565524</v>
      </c>
      <c r="F29" s="29">
        <f t="shared" si="6"/>
        <v>56.569474269697082</v>
      </c>
      <c r="G29" s="29">
        <f t="shared" si="2"/>
        <v>13984195264.900669</v>
      </c>
      <c r="H29" s="29">
        <f t="shared" si="3"/>
        <v>1398.4195264900668</v>
      </c>
      <c r="I29" s="29">
        <f t="shared" si="0"/>
        <v>167.81034317880801</v>
      </c>
      <c r="J29" s="29">
        <f t="shared" si="4"/>
        <v>1566.2298696688749</v>
      </c>
    </row>
    <row r="30" spans="1:10">
      <c r="A30" s="28">
        <v>28</v>
      </c>
      <c r="B30" s="28" t="s">
        <v>105</v>
      </c>
      <c r="C30" s="28">
        <v>2049</v>
      </c>
      <c r="D30" s="32">
        <f t="shared" si="5"/>
        <v>711134.53758887132</v>
      </c>
      <c r="E30" s="30">
        <f t="shared" si="1"/>
        <v>259564106.21993804</v>
      </c>
      <c r="F30" s="29">
        <f t="shared" si="6"/>
        <v>56.569474269697082</v>
      </c>
      <c r="G30" s="29">
        <f t="shared" si="2"/>
        <v>14683405028.145706</v>
      </c>
      <c r="H30" s="29">
        <f t="shared" si="3"/>
        <v>1468.3405028145705</v>
      </c>
      <c r="I30" s="29">
        <f t="shared" si="0"/>
        <v>176.20086033774845</v>
      </c>
      <c r="J30" s="29">
        <f t="shared" si="4"/>
        <v>1644.541363152319</v>
      </c>
    </row>
    <row r="31" spans="1:10">
      <c r="A31" s="28">
        <v>29</v>
      </c>
      <c r="B31" s="28" t="s">
        <v>106</v>
      </c>
      <c r="C31" s="28">
        <v>2050</v>
      </c>
      <c r="D31" s="32">
        <f t="shared" si="5"/>
        <v>746691.26446831494</v>
      </c>
      <c r="E31" s="30">
        <f t="shared" si="1"/>
        <v>272542311.53093493</v>
      </c>
      <c r="F31" s="29">
        <f t="shared" si="6"/>
        <v>59.397947983181922</v>
      </c>
      <c r="G31" s="29">
        <f t="shared" si="2"/>
        <v>16188454043.530636</v>
      </c>
      <c r="H31" s="29">
        <f t="shared" si="3"/>
        <v>1618.8454043530635</v>
      </c>
      <c r="I31" s="29">
        <f t="shared" si="0"/>
        <v>194.2614485223676</v>
      </c>
      <c r="J31" s="29">
        <f t="shared" si="4"/>
        <v>1813.1068528754311</v>
      </c>
    </row>
    <row r="32" spans="1:10">
      <c r="A32" s="28">
        <v>30</v>
      </c>
      <c r="B32" s="28" t="s">
        <v>107</v>
      </c>
      <c r="C32" s="28">
        <v>2051</v>
      </c>
      <c r="D32" s="32">
        <f t="shared" si="5"/>
        <v>784025.82769173069</v>
      </c>
      <c r="E32" s="30">
        <f t="shared" si="1"/>
        <v>286169427.10748172</v>
      </c>
      <c r="F32" s="29">
        <f t="shared" si="6"/>
        <v>59.397947983181922</v>
      </c>
      <c r="G32" s="29">
        <f t="shared" si="2"/>
        <v>16997876745.70717</v>
      </c>
      <c r="H32" s="29">
        <f t="shared" si="3"/>
        <v>1699.7876745707169</v>
      </c>
      <c r="I32" s="29">
        <f t="shared" si="0"/>
        <v>203.97452094848603</v>
      </c>
      <c r="J32" s="29">
        <f t="shared" si="4"/>
        <v>1903.762195519203</v>
      </c>
    </row>
    <row r="33" spans="1:10">
      <c r="A33" s="28">
        <v>31</v>
      </c>
      <c r="B33" s="28" t="s">
        <v>108</v>
      </c>
      <c r="C33" s="28">
        <v>2052</v>
      </c>
      <c r="D33" s="32">
        <f t="shared" si="5"/>
        <v>823227.11907631729</v>
      </c>
      <c r="E33" s="30">
        <f t="shared" si="1"/>
        <v>300477898.46285582</v>
      </c>
      <c r="F33" s="29">
        <f t="shared" si="6"/>
        <v>62.367845382341038</v>
      </c>
      <c r="G33" s="29">
        <f t="shared" si="2"/>
        <v>18740159112.142162</v>
      </c>
      <c r="H33" s="29">
        <f t="shared" si="3"/>
        <v>1874.0159112142162</v>
      </c>
      <c r="I33" s="29">
        <f t="shared" si="0"/>
        <v>224.88190934570594</v>
      </c>
      <c r="J33" s="29">
        <f t="shared" si="4"/>
        <v>2098.8978205599224</v>
      </c>
    </row>
    <row r="34" spans="1:10">
      <c r="A34" s="28">
        <v>32</v>
      </c>
      <c r="B34" s="28" t="s">
        <v>109</v>
      </c>
      <c r="C34" s="28">
        <v>2053</v>
      </c>
      <c r="D34" s="32">
        <f t="shared" si="5"/>
        <v>864388.47503013315</v>
      </c>
      <c r="E34" s="30">
        <f t="shared" si="1"/>
        <v>315501793.38599861</v>
      </c>
      <c r="F34" s="29">
        <f t="shared" si="6"/>
        <v>62.367845382341038</v>
      </c>
      <c r="G34" s="29">
        <f t="shared" si="2"/>
        <v>19677167067.749268</v>
      </c>
      <c r="H34" s="29">
        <f t="shared" si="3"/>
        <v>1967.7167067749267</v>
      </c>
      <c r="I34" s="29">
        <f t="shared" si="0"/>
        <v>236.1260048129912</v>
      </c>
      <c r="J34" s="29">
        <f t="shared" si="4"/>
        <v>2203.8427115879181</v>
      </c>
    </row>
    <row r="35" spans="1:10">
      <c r="A35" s="28">
        <v>33</v>
      </c>
      <c r="B35" s="28" t="s">
        <v>110</v>
      </c>
      <c r="C35" s="28">
        <v>2054</v>
      </c>
      <c r="D35" s="32">
        <f t="shared" si="5"/>
        <v>907607.89878163987</v>
      </c>
      <c r="E35" s="30">
        <f t="shared" si="1"/>
        <v>331276883.05529857</v>
      </c>
      <c r="F35" s="29">
        <f t="shared" si="6"/>
        <v>65.486237651458083</v>
      </c>
      <c r="G35" s="29">
        <f t="shared" si="2"/>
        <v>21694076692.193569</v>
      </c>
      <c r="H35" s="29">
        <f t="shared" si="3"/>
        <v>2169.4076692193571</v>
      </c>
      <c r="I35" s="29">
        <f t="shared" si="0"/>
        <v>260.32892030632286</v>
      </c>
      <c r="J35" s="29">
        <f t="shared" si="4"/>
        <v>2429.7365895256798</v>
      </c>
    </row>
    <row r="36" spans="1:10">
      <c r="A36" s="28">
        <v>34</v>
      </c>
      <c r="B36" s="28" t="s">
        <v>111</v>
      </c>
      <c r="C36" s="28">
        <v>2055</v>
      </c>
      <c r="D36" s="32">
        <f t="shared" si="5"/>
        <v>952988.29372072185</v>
      </c>
      <c r="E36" s="30">
        <f t="shared" si="1"/>
        <v>347840727.20806348</v>
      </c>
      <c r="F36" s="29">
        <f t="shared" si="6"/>
        <v>65.486237651458083</v>
      </c>
      <c r="G36" s="29">
        <f t="shared" si="2"/>
        <v>22778780526.803246</v>
      </c>
      <c r="H36" s="29">
        <f t="shared" si="3"/>
        <v>2277.8780526803243</v>
      </c>
      <c r="I36" s="29">
        <f t="shared" si="0"/>
        <v>273.34536632163889</v>
      </c>
      <c r="J36" s="29">
        <f t="shared" si="4"/>
        <v>2551.2234190019631</v>
      </c>
    </row>
    <row r="37" spans="1:10">
      <c r="A37" s="28">
        <v>35</v>
      </c>
      <c r="B37" s="28" t="s">
        <v>112</v>
      </c>
      <c r="C37" s="28">
        <v>2056</v>
      </c>
      <c r="D37" s="32">
        <f t="shared" si="5"/>
        <v>1000637.708406758</v>
      </c>
      <c r="E37" s="30">
        <f t="shared" si="1"/>
        <v>365232763.56846666</v>
      </c>
      <c r="F37" s="29">
        <f t="shared" si="6"/>
        <v>68.760549534031</v>
      </c>
      <c r="G37" s="29">
        <f t="shared" si="2"/>
        <v>25113605530.800587</v>
      </c>
      <c r="H37" s="29">
        <f t="shared" si="3"/>
        <v>2511.3605530800587</v>
      </c>
      <c r="I37" s="29">
        <f t="shared" si="0"/>
        <v>301.36326636960706</v>
      </c>
      <c r="J37" s="29">
        <f t="shared" si="4"/>
        <v>2812.7238194496658</v>
      </c>
    </row>
    <row r="39" spans="1:10">
      <c r="B39" s="10" t="s">
        <v>113</v>
      </c>
      <c r="C39" s="10" t="s">
        <v>114</v>
      </c>
      <c r="D39" s="10" t="s">
        <v>115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2AD23-35BE-42D6-AD5B-3A8071B8826A}">
  <dimension ref="A1:Q36"/>
  <sheetViews>
    <sheetView topLeftCell="G1" zoomScale="90" zoomScaleNormal="90" workbookViewId="0">
      <selection activeCell="R5" sqref="R5"/>
    </sheetView>
  </sheetViews>
  <sheetFormatPr defaultRowHeight="14.45"/>
  <cols>
    <col min="4" max="4" width="24.5703125" customWidth="1"/>
    <col min="5" max="5" width="19.28515625" customWidth="1"/>
    <col min="6" max="7" width="20.140625" customWidth="1"/>
    <col min="8" max="8" width="15.28515625" customWidth="1"/>
    <col min="9" max="9" width="22" customWidth="1"/>
    <col min="10" max="10" width="20.28515625" customWidth="1"/>
    <col min="11" max="11" width="18.7109375" bestFit="1" customWidth="1"/>
    <col min="13" max="13" width="15.7109375" customWidth="1"/>
    <col min="15" max="15" width="14.85546875" customWidth="1"/>
  </cols>
  <sheetData>
    <row r="1" spans="1:17" ht="43.5">
      <c r="A1" s="27"/>
      <c r="B1" s="27"/>
      <c r="C1" s="27"/>
      <c r="D1" s="27" t="s">
        <v>116</v>
      </c>
      <c r="E1" s="27" t="s">
        <v>117</v>
      </c>
      <c r="F1" s="27" t="s">
        <v>118</v>
      </c>
      <c r="G1" s="27"/>
      <c r="H1" s="27" t="s">
        <v>119</v>
      </c>
      <c r="I1" s="27" t="s">
        <v>120</v>
      </c>
      <c r="J1" s="27" t="s">
        <v>121</v>
      </c>
      <c r="K1" s="27" t="s">
        <v>122</v>
      </c>
      <c r="L1" s="27"/>
      <c r="M1" s="27" t="s">
        <v>123</v>
      </c>
      <c r="N1" s="27"/>
      <c r="O1" s="27" t="s">
        <v>124</v>
      </c>
      <c r="P1" s="27"/>
      <c r="Q1" s="27" t="s">
        <v>125</v>
      </c>
    </row>
    <row r="2" spans="1:17" ht="14.45" customHeight="1">
      <c r="A2" s="28"/>
      <c r="B2" s="28" t="s">
        <v>126</v>
      </c>
      <c r="C2" s="46" t="s">
        <v>127</v>
      </c>
      <c r="D2" s="28">
        <f t="shared" ref="D2:D36" si="0">Operational_route_Km</f>
        <v>31.25</v>
      </c>
      <c r="E2" s="29">
        <f>O_M_Cost</f>
        <v>0.5</v>
      </c>
      <c r="F2" s="29">
        <f>D2*E2</f>
        <v>15.625</v>
      </c>
      <c r="G2" s="45" t="s">
        <v>128</v>
      </c>
      <c r="H2" s="28" cm="1">
        <f t="array" ref="H2:H36">Passengers_per_year</f>
        <v>36500000</v>
      </c>
      <c r="I2" s="29">
        <f t="shared" ref="I2:I36" si="1">Per_passenger_cost</f>
        <v>0.5</v>
      </c>
      <c r="J2" s="29">
        <f>H2*I2</f>
        <v>18250000</v>
      </c>
      <c r="K2" s="29">
        <f>J2/10000000</f>
        <v>1.825</v>
      </c>
      <c r="L2" s="46" t="s">
        <v>129</v>
      </c>
      <c r="M2" s="29">
        <v>157.68</v>
      </c>
      <c r="N2" s="46" t="s">
        <v>130</v>
      </c>
      <c r="O2" s="29">
        <v>88.85</v>
      </c>
      <c r="P2" s="46" t="s">
        <v>131</v>
      </c>
      <c r="Q2" s="29">
        <f>F2+K2+M2+O2</f>
        <v>263.98</v>
      </c>
    </row>
    <row r="3" spans="1:17" ht="14.45" customHeight="1">
      <c r="A3" s="28"/>
      <c r="B3" s="28" t="s">
        <v>132</v>
      </c>
      <c r="C3" s="46"/>
      <c r="D3" s="28">
        <f t="shared" si="0"/>
        <v>31.25</v>
      </c>
      <c r="E3" s="29">
        <f t="shared" ref="E3:E36" si="2">E2*(1+O_M_escalation)</f>
        <v>0.52500000000000002</v>
      </c>
      <c r="F3" s="29">
        <f t="shared" ref="F3:F36" si="3">D3*E3</f>
        <v>16.40625</v>
      </c>
      <c r="G3" s="45"/>
      <c r="H3" s="28">
        <v>73000000</v>
      </c>
      <c r="I3" s="29">
        <f t="shared" si="1"/>
        <v>0.5</v>
      </c>
      <c r="J3" s="29">
        <f t="shared" ref="J3:J36" si="4">H3*I3</f>
        <v>36500000</v>
      </c>
      <c r="K3" s="29">
        <f t="shared" ref="K3:K36" si="5">J3/10000000</f>
        <v>3.65</v>
      </c>
      <c r="L3" s="46"/>
      <c r="M3" s="29">
        <f t="shared" ref="M3:M36" si="6">M2*(1+Power_cost_Escalation)</f>
        <v>165.56400000000002</v>
      </c>
      <c r="N3" s="46"/>
      <c r="O3" s="29">
        <f t="shared" ref="O3:O36" si="7">O2*(1+Admin_cot_escalation)</f>
        <v>94.180999999999997</v>
      </c>
      <c r="P3" s="46"/>
      <c r="Q3" s="29">
        <f t="shared" ref="Q3:Q36" si="8">F3+K3+M3+O3</f>
        <v>279.80125000000004</v>
      </c>
    </row>
    <row r="4" spans="1:17" ht="14.45" customHeight="1">
      <c r="A4" s="28"/>
      <c r="B4" s="28" t="s">
        <v>133</v>
      </c>
      <c r="C4" s="46"/>
      <c r="D4" s="28">
        <f t="shared" si="0"/>
        <v>31.25</v>
      </c>
      <c r="E4" s="29">
        <f t="shared" si="2"/>
        <v>0.55125000000000002</v>
      </c>
      <c r="F4" s="29">
        <f t="shared" si="3"/>
        <v>17.2265625</v>
      </c>
      <c r="G4" s="45"/>
      <c r="H4" s="28">
        <v>76650000</v>
      </c>
      <c r="I4" s="29">
        <f t="shared" si="1"/>
        <v>0.5</v>
      </c>
      <c r="J4" s="29">
        <f t="shared" si="4"/>
        <v>38325000</v>
      </c>
      <c r="K4" s="29">
        <f t="shared" si="5"/>
        <v>3.8325</v>
      </c>
      <c r="L4" s="46"/>
      <c r="M4" s="29">
        <f t="shared" si="6"/>
        <v>173.84220000000002</v>
      </c>
      <c r="N4" s="46"/>
      <c r="O4" s="29">
        <f t="shared" si="7"/>
        <v>99.831860000000006</v>
      </c>
      <c r="P4" s="46"/>
      <c r="Q4" s="29">
        <f t="shared" si="8"/>
        <v>294.73312250000004</v>
      </c>
    </row>
    <row r="5" spans="1:17" ht="14.45" customHeight="1">
      <c r="A5" s="28"/>
      <c r="B5" s="28" t="s">
        <v>134</v>
      </c>
      <c r="C5" s="46"/>
      <c r="D5" s="28">
        <f t="shared" si="0"/>
        <v>31.25</v>
      </c>
      <c r="E5" s="29">
        <f t="shared" si="2"/>
        <v>0.57881250000000006</v>
      </c>
      <c r="F5" s="29">
        <f t="shared" si="3"/>
        <v>18.087890625000004</v>
      </c>
      <c r="G5" s="45"/>
      <c r="H5" s="28">
        <v>80482500</v>
      </c>
      <c r="I5" s="29">
        <f t="shared" si="1"/>
        <v>0.5</v>
      </c>
      <c r="J5" s="29">
        <f t="shared" si="4"/>
        <v>40241250</v>
      </c>
      <c r="K5" s="29">
        <f t="shared" si="5"/>
        <v>4.0241249999999997</v>
      </c>
      <c r="L5" s="46"/>
      <c r="M5" s="29">
        <f t="shared" si="6"/>
        <v>182.53431000000003</v>
      </c>
      <c r="N5" s="46"/>
      <c r="O5" s="29">
        <f t="shared" si="7"/>
        <v>105.82177160000001</v>
      </c>
      <c r="P5" s="46"/>
      <c r="Q5" s="29">
        <f t="shared" si="8"/>
        <v>310.46809722500007</v>
      </c>
    </row>
    <row r="6" spans="1:17" ht="14.45" customHeight="1">
      <c r="A6" s="28"/>
      <c r="B6" s="28" t="s">
        <v>135</v>
      </c>
      <c r="C6" s="46"/>
      <c r="D6" s="28">
        <f t="shared" si="0"/>
        <v>31.25</v>
      </c>
      <c r="E6" s="29">
        <f t="shared" si="2"/>
        <v>0.60775312500000012</v>
      </c>
      <c r="F6" s="29">
        <f t="shared" si="3"/>
        <v>18.992285156250002</v>
      </c>
      <c r="G6" s="45"/>
      <c r="H6" s="28">
        <v>84506625</v>
      </c>
      <c r="I6" s="29">
        <f t="shared" si="1"/>
        <v>0.5</v>
      </c>
      <c r="J6" s="29">
        <f t="shared" si="4"/>
        <v>42253312.5</v>
      </c>
      <c r="K6" s="29">
        <f t="shared" si="5"/>
        <v>4.22533125</v>
      </c>
      <c r="L6" s="46"/>
      <c r="M6" s="29">
        <f t="shared" si="6"/>
        <v>191.66102550000005</v>
      </c>
      <c r="N6" s="46"/>
      <c r="O6" s="29">
        <f t="shared" si="7"/>
        <v>112.17107789600001</v>
      </c>
      <c r="P6" s="46"/>
      <c r="Q6" s="29">
        <f t="shared" si="8"/>
        <v>327.04971980225002</v>
      </c>
    </row>
    <row r="7" spans="1:17" ht="14.45" customHeight="1">
      <c r="A7" s="28"/>
      <c r="B7" s="28" t="s">
        <v>136</v>
      </c>
      <c r="C7" s="46"/>
      <c r="D7" s="28">
        <f t="shared" si="0"/>
        <v>31.25</v>
      </c>
      <c r="E7" s="29">
        <f t="shared" si="2"/>
        <v>0.63814078125000018</v>
      </c>
      <c r="F7" s="29">
        <f t="shared" si="3"/>
        <v>19.941899414062505</v>
      </c>
      <c r="G7" s="45"/>
      <c r="H7" s="28">
        <v>88731956.25</v>
      </c>
      <c r="I7" s="29">
        <f t="shared" si="1"/>
        <v>0.5</v>
      </c>
      <c r="J7" s="29">
        <f t="shared" si="4"/>
        <v>44365978.125</v>
      </c>
      <c r="K7" s="29">
        <f t="shared" si="5"/>
        <v>4.4365978124999996</v>
      </c>
      <c r="L7" s="46"/>
      <c r="M7" s="29">
        <f t="shared" si="6"/>
        <v>201.24407677500005</v>
      </c>
      <c r="N7" s="46"/>
      <c r="O7" s="29">
        <f t="shared" si="7"/>
        <v>118.90134256976002</v>
      </c>
      <c r="P7" s="46"/>
      <c r="Q7" s="29">
        <f t="shared" si="8"/>
        <v>344.52391657132256</v>
      </c>
    </row>
    <row r="8" spans="1:17" ht="14.45" customHeight="1">
      <c r="A8" s="28"/>
      <c r="B8" s="28" t="s">
        <v>137</v>
      </c>
      <c r="C8" s="46"/>
      <c r="D8" s="28">
        <f t="shared" si="0"/>
        <v>31.25</v>
      </c>
      <c r="E8" s="29">
        <f t="shared" si="2"/>
        <v>0.67004782031250021</v>
      </c>
      <c r="F8" s="29">
        <f t="shared" si="3"/>
        <v>20.938994384765632</v>
      </c>
      <c r="G8" s="45"/>
      <c r="H8" s="28">
        <v>93168554.0625</v>
      </c>
      <c r="I8" s="29">
        <f t="shared" si="1"/>
        <v>0.5</v>
      </c>
      <c r="J8" s="29">
        <f t="shared" si="4"/>
        <v>46584277.03125</v>
      </c>
      <c r="K8" s="29">
        <f t="shared" si="5"/>
        <v>4.6584277031249997</v>
      </c>
      <c r="L8" s="46"/>
      <c r="M8" s="29">
        <f t="shared" si="6"/>
        <v>211.30628061375006</v>
      </c>
      <c r="N8" s="46"/>
      <c r="O8" s="29">
        <f t="shared" si="7"/>
        <v>126.03542312394562</v>
      </c>
      <c r="P8" s="46"/>
      <c r="Q8" s="29">
        <f t="shared" si="8"/>
        <v>362.9391258255863</v>
      </c>
    </row>
    <row r="9" spans="1:17" ht="14.45" customHeight="1">
      <c r="A9" s="28"/>
      <c r="B9" s="28" t="s">
        <v>138</v>
      </c>
      <c r="C9" s="46"/>
      <c r="D9" s="28">
        <f t="shared" si="0"/>
        <v>31.25</v>
      </c>
      <c r="E9" s="29">
        <f t="shared" si="2"/>
        <v>0.70355021132812523</v>
      </c>
      <c r="F9" s="29">
        <f t="shared" si="3"/>
        <v>21.985944104003913</v>
      </c>
      <c r="G9" s="45"/>
      <c r="H9" s="28">
        <v>97826981.765625</v>
      </c>
      <c r="I9" s="29">
        <f t="shared" si="1"/>
        <v>0.5</v>
      </c>
      <c r="J9" s="29">
        <f t="shared" si="4"/>
        <v>48913490.8828125</v>
      </c>
      <c r="K9" s="29">
        <f t="shared" si="5"/>
        <v>4.8913490882812498</v>
      </c>
      <c r="L9" s="46"/>
      <c r="M9" s="29">
        <f t="shared" si="6"/>
        <v>221.87159464443758</v>
      </c>
      <c r="N9" s="46"/>
      <c r="O9" s="29">
        <f t="shared" si="7"/>
        <v>133.59754851138237</v>
      </c>
      <c r="P9" s="46"/>
      <c r="Q9" s="29">
        <f t="shared" si="8"/>
        <v>382.3464363481051</v>
      </c>
    </row>
    <row r="10" spans="1:17" ht="14.45" customHeight="1">
      <c r="A10" s="28"/>
      <c r="B10" s="28" t="s">
        <v>139</v>
      </c>
      <c r="C10" s="46"/>
      <c r="D10" s="28">
        <f t="shared" si="0"/>
        <v>31.25</v>
      </c>
      <c r="E10" s="29">
        <f t="shared" si="2"/>
        <v>0.73872772189453151</v>
      </c>
      <c r="F10" s="29">
        <f t="shared" si="3"/>
        <v>23.085241309204111</v>
      </c>
      <c r="G10" s="45"/>
      <c r="H10" s="28">
        <v>102718330.85390624</v>
      </c>
      <c r="I10" s="29">
        <f t="shared" si="1"/>
        <v>0.5</v>
      </c>
      <c r="J10" s="29">
        <f t="shared" si="4"/>
        <v>51359165.426953122</v>
      </c>
      <c r="K10" s="29">
        <f t="shared" si="5"/>
        <v>5.1359165426953126</v>
      </c>
      <c r="L10" s="46"/>
      <c r="M10" s="29">
        <f t="shared" si="6"/>
        <v>232.96517437665946</v>
      </c>
      <c r="N10" s="46"/>
      <c r="O10" s="29">
        <f t="shared" si="7"/>
        <v>141.61340142206532</v>
      </c>
      <c r="P10" s="46"/>
      <c r="Q10" s="29">
        <f t="shared" si="8"/>
        <v>402.79973365062426</v>
      </c>
    </row>
    <row r="11" spans="1:17" ht="14.45" customHeight="1">
      <c r="A11" s="28"/>
      <c r="B11" s="28" t="s">
        <v>140</v>
      </c>
      <c r="C11" s="46"/>
      <c r="D11" s="28">
        <f t="shared" si="0"/>
        <v>31.25</v>
      </c>
      <c r="E11" s="29">
        <f t="shared" si="2"/>
        <v>0.77566410798925811</v>
      </c>
      <c r="F11" s="29">
        <f t="shared" si="3"/>
        <v>24.239503374664316</v>
      </c>
      <c r="G11" s="45"/>
      <c r="H11" s="28">
        <v>107854247.39660157</v>
      </c>
      <c r="I11" s="29">
        <f t="shared" si="1"/>
        <v>0.5</v>
      </c>
      <c r="J11" s="29">
        <f t="shared" si="4"/>
        <v>53927123.698300786</v>
      </c>
      <c r="K11" s="29">
        <f t="shared" si="5"/>
        <v>5.392712369830079</v>
      </c>
      <c r="L11" s="46"/>
      <c r="M11" s="29">
        <f t="shared" si="6"/>
        <v>244.61343309549244</v>
      </c>
      <c r="N11" s="46"/>
      <c r="O11" s="29">
        <f t="shared" si="7"/>
        <v>150.11020550738925</v>
      </c>
      <c r="P11" s="46"/>
      <c r="Q11" s="29">
        <f t="shared" si="8"/>
        <v>424.35585434737607</v>
      </c>
    </row>
    <row r="12" spans="1:17" ht="14.45" customHeight="1">
      <c r="A12" s="28"/>
      <c r="B12" s="28" t="s">
        <v>141</v>
      </c>
      <c r="C12" s="46"/>
      <c r="D12" s="28">
        <f t="shared" si="0"/>
        <v>31.25</v>
      </c>
      <c r="E12" s="29">
        <f t="shared" si="2"/>
        <v>0.81444731338872101</v>
      </c>
      <c r="F12" s="29">
        <f t="shared" si="3"/>
        <v>25.451478543397531</v>
      </c>
      <c r="G12" s="45"/>
      <c r="H12" s="28">
        <v>113246959.76643166</v>
      </c>
      <c r="I12" s="29">
        <f t="shared" si="1"/>
        <v>0.5</v>
      </c>
      <c r="J12" s="29">
        <f t="shared" si="4"/>
        <v>56623479.88321583</v>
      </c>
      <c r="K12" s="29">
        <f t="shared" si="5"/>
        <v>5.6623479883215833</v>
      </c>
      <c r="L12" s="46"/>
      <c r="M12" s="29">
        <f t="shared" si="6"/>
        <v>256.84410475026709</v>
      </c>
      <c r="N12" s="46"/>
      <c r="O12" s="29">
        <f t="shared" si="7"/>
        <v>159.11681783783263</v>
      </c>
      <c r="P12" s="46"/>
      <c r="Q12" s="29">
        <f t="shared" si="8"/>
        <v>447.07474911981882</v>
      </c>
    </row>
    <row r="13" spans="1:17" ht="14.45" customHeight="1">
      <c r="A13" s="28"/>
      <c r="B13" s="28" t="s">
        <v>142</v>
      </c>
      <c r="C13" s="46"/>
      <c r="D13" s="28">
        <f t="shared" si="0"/>
        <v>31.25</v>
      </c>
      <c r="E13" s="29">
        <f t="shared" si="2"/>
        <v>0.85516967905815711</v>
      </c>
      <c r="F13" s="29">
        <f t="shared" si="3"/>
        <v>26.724052470567411</v>
      </c>
      <c r="G13" s="45"/>
      <c r="H13" s="28">
        <v>118909307.75475323</v>
      </c>
      <c r="I13" s="29">
        <f t="shared" si="1"/>
        <v>0.5</v>
      </c>
      <c r="J13" s="29">
        <f t="shared" si="4"/>
        <v>59454653.877376616</v>
      </c>
      <c r="K13" s="29">
        <f t="shared" si="5"/>
        <v>5.945465387737662</v>
      </c>
      <c r="L13" s="46"/>
      <c r="M13" s="29">
        <f t="shared" si="6"/>
        <v>269.68630998778048</v>
      </c>
      <c r="N13" s="46"/>
      <c r="O13" s="29">
        <f t="shared" si="7"/>
        <v>168.66382690810261</v>
      </c>
      <c r="P13" s="46"/>
      <c r="Q13" s="29">
        <f t="shared" si="8"/>
        <v>471.0196547541882</v>
      </c>
    </row>
    <row r="14" spans="1:17" ht="14.45" customHeight="1">
      <c r="A14" s="28"/>
      <c r="B14" s="28" t="s">
        <v>143</v>
      </c>
      <c r="C14" s="46"/>
      <c r="D14" s="28">
        <f t="shared" si="0"/>
        <v>31.25</v>
      </c>
      <c r="E14" s="29">
        <f t="shared" si="2"/>
        <v>0.89792816301106504</v>
      </c>
      <c r="F14" s="29">
        <f t="shared" si="3"/>
        <v>28.060255094095783</v>
      </c>
      <c r="G14" s="45"/>
      <c r="H14" s="28">
        <v>124854773.14249091</v>
      </c>
      <c r="I14" s="29">
        <f t="shared" si="1"/>
        <v>0.5</v>
      </c>
      <c r="J14" s="29">
        <f t="shared" si="4"/>
        <v>62427386.571245454</v>
      </c>
      <c r="K14" s="29">
        <f t="shared" si="5"/>
        <v>6.2427386571245451</v>
      </c>
      <c r="L14" s="46"/>
      <c r="M14" s="29">
        <f t="shared" si="6"/>
        <v>283.1706254871695</v>
      </c>
      <c r="N14" s="46"/>
      <c r="O14" s="29">
        <f t="shared" si="7"/>
        <v>178.78365652258879</v>
      </c>
      <c r="P14" s="46"/>
      <c r="Q14" s="29">
        <f t="shared" si="8"/>
        <v>496.25727576097859</v>
      </c>
    </row>
    <row r="15" spans="1:17" ht="14.45" customHeight="1">
      <c r="A15" s="28"/>
      <c r="B15" s="28" t="s">
        <v>144</v>
      </c>
      <c r="C15" s="46"/>
      <c r="D15" s="28">
        <f t="shared" si="0"/>
        <v>31.25</v>
      </c>
      <c r="E15" s="29">
        <f t="shared" si="2"/>
        <v>0.94282457116161833</v>
      </c>
      <c r="F15" s="29">
        <f t="shared" si="3"/>
        <v>29.463267848800573</v>
      </c>
      <c r="G15" s="45"/>
      <c r="H15" s="28">
        <v>131097511.79961546</v>
      </c>
      <c r="I15" s="29">
        <f t="shared" si="1"/>
        <v>0.5</v>
      </c>
      <c r="J15" s="29">
        <f t="shared" si="4"/>
        <v>65548755.899807729</v>
      </c>
      <c r="K15" s="29">
        <f t="shared" si="5"/>
        <v>6.5548755899807727</v>
      </c>
      <c r="L15" s="46"/>
      <c r="M15" s="29">
        <f t="shared" si="6"/>
        <v>297.329156761528</v>
      </c>
      <c r="N15" s="46"/>
      <c r="O15" s="29">
        <f t="shared" si="7"/>
        <v>189.51067591394411</v>
      </c>
      <c r="P15" s="46"/>
      <c r="Q15" s="29">
        <f t="shared" si="8"/>
        <v>522.85797611425346</v>
      </c>
    </row>
    <row r="16" spans="1:17" ht="14.45" customHeight="1">
      <c r="A16" s="28"/>
      <c r="B16" s="28" t="s">
        <v>145</v>
      </c>
      <c r="C16" s="46"/>
      <c r="D16" s="28">
        <f t="shared" si="0"/>
        <v>31.25</v>
      </c>
      <c r="E16" s="29">
        <f t="shared" si="2"/>
        <v>0.98996579971969934</v>
      </c>
      <c r="F16" s="29">
        <f t="shared" si="3"/>
        <v>30.936431241240605</v>
      </c>
      <c r="G16" s="45"/>
      <c r="H16" s="28">
        <v>137652387.38959625</v>
      </c>
      <c r="I16" s="29">
        <f t="shared" si="1"/>
        <v>0.5</v>
      </c>
      <c r="J16" s="29">
        <f t="shared" si="4"/>
        <v>68826193.694798127</v>
      </c>
      <c r="K16" s="29">
        <f t="shared" si="5"/>
        <v>6.882619369479813</v>
      </c>
      <c r="L16" s="46"/>
      <c r="M16" s="29">
        <f t="shared" si="6"/>
        <v>312.19561459960443</v>
      </c>
      <c r="N16" s="46"/>
      <c r="O16" s="29">
        <f t="shared" si="7"/>
        <v>200.88131646878077</v>
      </c>
      <c r="P16" s="46"/>
      <c r="Q16" s="29">
        <f t="shared" si="8"/>
        <v>550.8959816791056</v>
      </c>
    </row>
    <row r="17" spans="1:17" ht="14.45" customHeight="1">
      <c r="A17" s="28"/>
      <c r="B17" s="28" t="s">
        <v>146</v>
      </c>
      <c r="C17" s="46"/>
      <c r="D17" s="28">
        <f t="shared" si="0"/>
        <v>31.25</v>
      </c>
      <c r="E17" s="29">
        <f t="shared" si="2"/>
        <v>1.0394640897056844</v>
      </c>
      <c r="F17" s="29">
        <f t="shared" si="3"/>
        <v>32.483252803302634</v>
      </c>
      <c r="G17" s="45"/>
      <c r="H17" s="28">
        <v>144535006.75907606</v>
      </c>
      <c r="I17" s="29">
        <f t="shared" si="1"/>
        <v>0.5</v>
      </c>
      <c r="J17" s="29">
        <f t="shared" si="4"/>
        <v>72267503.379538029</v>
      </c>
      <c r="K17" s="29">
        <f t="shared" si="5"/>
        <v>7.2267503379538027</v>
      </c>
      <c r="L17" s="46"/>
      <c r="M17" s="29">
        <f t="shared" si="6"/>
        <v>327.80539532958466</v>
      </c>
      <c r="N17" s="46"/>
      <c r="O17" s="29">
        <f t="shared" si="7"/>
        <v>212.93419545690762</v>
      </c>
      <c r="P17" s="46"/>
      <c r="Q17" s="29">
        <f t="shared" si="8"/>
        <v>580.44959392774877</v>
      </c>
    </row>
    <row r="18" spans="1:17" ht="14.45" customHeight="1">
      <c r="A18" s="28"/>
      <c r="B18" s="28" t="s">
        <v>147</v>
      </c>
      <c r="C18" s="46"/>
      <c r="D18" s="28">
        <f t="shared" si="0"/>
        <v>31.25</v>
      </c>
      <c r="E18" s="29">
        <f t="shared" si="2"/>
        <v>1.0914372941909687</v>
      </c>
      <c r="F18" s="29">
        <f t="shared" si="3"/>
        <v>34.107415443467772</v>
      </c>
      <c r="G18" s="45"/>
      <c r="H18" s="28">
        <v>151761757.09702986</v>
      </c>
      <c r="I18" s="29">
        <f t="shared" si="1"/>
        <v>0.5</v>
      </c>
      <c r="J18" s="29">
        <f t="shared" si="4"/>
        <v>75880878.548514932</v>
      </c>
      <c r="K18" s="29">
        <f t="shared" si="5"/>
        <v>7.5880878548514934</v>
      </c>
      <c r="L18" s="46"/>
      <c r="M18" s="29">
        <f t="shared" si="6"/>
        <v>344.19566509606392</v>
      </c>
      <c r="N18" s="46"/>
      <c r="O18" s="29">
        <f t="shared" si="7"/>
        <v>225.71024718432207</v>
      </c>
      <c r="P18" s="46"/>
      <c r="Q18" s="29">
        <f t="shared" si="8"/>
        <v>611.6014155787052</v>
      </c>
    </row>
    <row r="19" spans="1:17" ht="14.45" customHeight="1">
      <c r="A19" s="28"/>
      <c r="B19" s="28" t="s">
        <v>148</v>
      </c>
      <c r="C19" s="46"/>
      <c r="D19" s="28">
        <f t="shared" si="0"/>
        <v>31.25</v>
      </c>
      <c r="E19" s="29">
        <f t="shared" si="2"/>
        <v>1.1460091589005172</v>
      </c>
      <c r="F19" s="29">
        <f t="shared" si="3"/>
        <v>35.812786215641161</v>
      </c>
      <c r="G19" s="45"/>
      <c r="H19" s="28">
        <v>159349844.95188135</v>
      </c>
      <c r="I19" s="29">
        <f t="shared" si="1"/>
        <v>0.5</v>
      </c>
      <c r="J19" s="29">
        <f t="shared" si="4"/>
        <v>79674922.475940675</v>
      </c>
      <c r="K19" s="29">
        <f t="shared" si="5"/>
        <v>7.967492247594067</v>
      </c>
      <c r="L19" s="46"/>
      <c r="M19" s="29">
        <f t="shared" si="6"/>
        <v>361.40544835086712</v>
      </c>
      <c r="N19" s="46"/>
      <c r="O19" s="29">
        <f t="shared" si="7"/>
        <v>239.2528620153814</v>
      </c>
      <c r="P19" s="46"/>
      <c r="Q19" s="29">
        <f t="shared" si="8"/>
        <v>644.43858882948371</v>
      </c>
    </row>
    <row r="20" spans="1:17" ht="14.45" customHeight="1">
      <c r="A20" s="28"/>
      <c r="B20" s="28" t="s">
        <v>149</v>
      </c>
      <c r="C20" s="46"/>
      <c r="D20" s="28">
        <f t="shared" si="0"/>
        <v>31.25</v>
      </c>
      <c r="E20" s="29">
        <f t="shared" si="2"/>
        <v>1.2033096168455431</v>
      </c>
      <c r="F20" s="29">
        <f t="shared" si="3"/>
        <v>37.603425526423223</v>
      </c>
      <c r="G20" s="45"/>
      <c r="H20" s="28">
        <v>167317337.19947544</v>
      </c>
      <c r="I20" s="29">
        <f t="shared" si="1"/>
        <v>0.5</v>
      </c>
      <c r="J20" s="29">
        <f t="shared" si="4"/>
        <v>83658668.599737719</v>
      </c>
      <c r="K20" s="29">
        <f t="shared" si="5"/>
        <v>8.3658668599737727</v>
      </c>
      <c r="L20" s="46"/>
      <c r="M20" s="29">
        <f t="shared" si="6"/>
        <v>379.4757207684105</v>
      </c>
      <c r="N20" s="46"/>
      <c r="O20" s="29">
        <f t="shared" si="7"/>
        <v>253.60803373630429</v>
      </c>
      <c r="P20" s="46"/>
      <c r="Q20" s="29">
        <f t="shared" si="8"/>
        <v>679.05304689111176</v>
      </c>
    </row>
    <row r="21" spans="1:17" ht="14.45" customHeight="1">
      <c r="A21" s="28"/>
      <c r="B21" s="28" t="s">
        <v>150</v>
      </c>
      <c r="C21" s="46"/>
      <c r="D21" s="28">
        <f t="shared" si="0"/>
        <v>31.25</v>
      </c>
      <c r="E21" s="29">
        <f t="shared" si="2"/>
        <v>1.2634750976878202</v>
      </c>
      <c r="F21" s="29">
        <f t="shared" si="3"/>
        <v>39.48359680274438</v>
      </c>
      <c r="G21" s="45"/>
      <c r="H21" s="28">
        <v>175683204.0594492</v>
      </c>
      <c r="I21" s="29">
        <f t="shared" si="1"/>
        <v>0.5</v>
      </c>
      <c r="J21" s="29">
        <f t="shared" si="4"/>
        <v>87841602.029724598</v>
      </c>
      <c r="K21" s="29">
        <f t="shared" si="5"/>
        <v>8.7841602029724601</v>
      </c>
      <c r="L21" s="46"/>
      <c r="M21" s="29">
        <f t="shared" si="6"/>
        <v>398.44950680683104</v>
      </c>
      <c r="N21" s="46"/>
      <c r="O21" s="29">
        <f t="shared" si="7"/>
        <v>268.82451576048254</v>
      </c>
      <c r="P21" s="46"/>
      <c r="Q21" s="29">
        <f t="shared" si="8"/>
        <v>715.54177957303045</v>
      </c>
    </row>
    <row r="22" spans="1:17" ht="14.45" customHeight="1">
      <c r="A22" s="28"/>
      <c r="B22" s="28" t="s">
        <v>151</v>
      </c>
      <c r="C22" s="46"/>
      <c r="D22" s="28">
        <f t="shared" si="0"/>
        <v>31.25</v>
      </c>
      <c r="E22" s="29">
        <f t="shared" si="2"/>
        <v>1.3266488525722113</v>
      </c>
      <c r="F22" s="29">
        <f t="shared" si="3"/>
        <v>41.457776642881605</v>
      </c>
      <c r="G22" s="45"/>
      <c r="H22" s="28">
        <v>184467364.26242167</v>
      </c>
      <c r="I22" s="29">
        <f t="shared" si="1"/>
        <v>0.5</v>
      </c>
      <c r="J22" s="29">
        <f t="shared" si="4"/>
        <v>92233682.131210834</v>
      </c>
      <c r="K22" s="29">
        <f t="shared" si="5"/>
        <v>9.2233682131210841</v>
      </c>
      <c r="L22" s="46"/>
      <c r="M22" s="29">
        <f t="shared" si="6"/>
        <v>418.37198214717262</v>
      </c>
      <c r="N22" s="46"/>
      <c r="O22" s="29">
        <f t="shared" si="7"/>
        <v>284.95398670611149</v>
      </c>
      <c r="P22" s="46"/>
      <c r="Q22" s="29">
        <f t="shared" si="8"/>
        <v>754.00711370928684</v>
      </c>
    </row>
    <row r="23" spans="1:17" ht="14.45" customHeight="1">
      <c r="A23" s="28"/>
      <c r="B23" s="28" t="s">
        <v>152</v>
      </c>
      <c r="C23" s="46"/>
      <c r="D23" s="28">
        <f t="shared" si="0"/>
        <v>31.25</v>
      </c>
      <c r="E23" s="29">
        <f t="shared" si="2"/>
        <v>1.392981295200822</v>
      </c>
      <c r="F23" s="29">
        <f t="shared" si="3"/>
        <v>43.530665475025685</v>
      </c>
      <c r="G23" s="45"/>
      <c r="H23" s="28">
        <v>193690732.47554275</v>
      </c>
      <c r="I23" s="29">
        <f t="shared" si="1"/>
        <v>0.5</v>
      </c>
      <c r="J23" s="29">
        <f t="shared" si="4"/>
        <v>96845366.237771377</v>
      </c>
      <c r="K23" s="29">
        <f t="shared" si="5"/>
        <v>9.684536623777138</v>
      </c>
      <c r="L23" s="46"/>
      <c r="M23" s="29">
        <f t="shared" si="6"/>
        <v>439.29058125453128</v>
      </c>
      <c r="N23" s="46"/>
      <c r="O23" s="29">
        <f t="shared" si="7"/>
        <v>302.05122590847822</v>
      </c>
      <c r="P23" s="46"/>
      <c r="Q23" s="29">
        <f t="shared" si="8"/>
        <v>794.55700926181225</v>
      </c>
    </row>
    <row r="24" spans="1:17" ht="14.45" customHeight="1">
      <c r="A24" s="28"/>
      <c r="B24" s="28" t="s">
        <v>153</v>
      </c>
      <c r="C24" s="46"/>
      <c r="D24" s="28">
        <f t="shared" si="0"/>
        <v>31.25</v>
      </c>
      <c r="E24" s="29">
        <f t="shared" si="2"/>
        <v>1.4626303599608632</v>
      </c>
      <c r="F24" s="29">
        <f t="shared" si="3"/>
        <v>45.707198748776975</v>
      </c>
      <c r="G24" s="45"/>
      <c r="H24" s="28">
        <v>203375269.09931991</v>
      </c>
      <c r="I24" s="29">
        <f t="shared" si="1"/>
        <v>0.5</v>
      </c>
      <c r="J24" s="29">
        <f t="shared" si="4"/>
        <v>101687634.54965995</v>
      </c>
      <c r="K24" s="29">
        <f t="shared" si="5"/>
        <v>10.168763454965996</v>
      </c>
      <c r="L24" s="46"/>
      <c r="M24" s="29">
        <f t="shared" si="6"/>
        <v>461.25511031725785</v>
      </c>
      <c r="N24" s="46"/>
      <c r="O24" s="29">
        <f t="shared" si="7"/>
        <v>320.17429946298694</v>
      </c>
      <c r="P24" s="46"/>
      <c r="Q24" s="29">
        <f t="shared" si="8"/>
        <v>837.3053719839877</v>
      </c>
    </row>
    <row r="25" spans="1:17" ht="14.45" customHeight="1">
      <c r="A25" s="28"/>
      <c r="B25" s="28" t="s">
        <v>154</v>
      </c>
      <c r="C25" s="46"/>
      <c r="D25" s="28">
        <f t="shared" si="0"/>
        <v>31.25</v>
      </c>
      <c r="E25" s="29">
        <f t="shared" si="2"/>
        <v>1.5357618779589064</v>
      </c>
      <c r="F25" s="29">
        <f t="shared" si="3"/>
        <v>47.992558686215823</v>
      </c>
      <c r="G25" s="45"/>
      <c r="H25" s="28">
        <v>213544032.55428588</v>
      </c>
      <c r="I25" s="29">
        <f t="shared" si="1"/>
        <v>0.5</v>
      </c>
      <c r="J25" s="29">
        <f t="shared" si="4"/>
        <v>106772016.27714294</v>
      </c>
      <c r="K25" s="29">
        <f t="shared" si="5"/>
        <v>10.677201627714295</v>
      </c>
      <c r="L25" s="46"/>
      <c r="M25" s="29">
        <f t="shared" si="6"/>
        <v>484.31786583312078</v>
      </c>
      <c r="N25" s="46"/>
      <c r="O25" s="29">
        <f t="shared" si="7"/>
        <v>339.38475743076617</v>
      </c>
      <c r="P25" s="46"/>
      <c r="Q25" s="29">
        <f t="shared" si="8"/>
        <v>882.37238357781712</v>
      </c>
    </row>
    <row r="26" spans="1:17" ht="14.45" customHeight="1">
      <c r="A26" s="28"/>
      <c r="B26" s="28" t="s">
        <v>155</v>
      </c>
      <c r="C26" s="46"/>
      <c r="D26" s="28">
        <f t="shared" si="0"/>
        <v>31.25</v>
      </c>
      <c r="E26" s="29">
        <f t="shared" si="2"/>
        <v>1.6125499718568519</v>
      </c>
      <c r="F26" s="29">
        <f t="shared" si="3"/>
        <v>50.392186620526623</v>
      </c>
      <c r="G26" s="45"/>
      <c r="H26" s="28">
        <v>224221234.18200022</v>
      </c>
      <c r="I26" s="29">
        <f t="shared" si="1"/>
        <v>0.5</v>
      </c>
      <c r="J26" s="29">
        <f t="shared" si="4"/>
        <v>112110617.09100011</v>
      </c>
      <c r="K26" s="29">
        <f t="shared" si="5"/>
        <v>11.211061709100012</v>
      </c>
      <c r="L26" s="46"/>
      <c r="M26" s="29">
        <f t="shared" si="6"/>
        <v>508.53375912477685</v>
      </c>
      <c r="N26" s="46"/>
      <c r="O26" s="29">
        <f t="shared" si="7"/>
        <v>359.74784287661214</v>
      </c>
      <c r="P26" s="46"/>
      <c r="Q26" s="29">
        <f t="shared" si="8"/>
        <v>929.88485033101563</v>
      </c>
    </row>
    <row r="27" spans="1:17" ht="14.45" customHeight="1">
      <c r="A27" s="28"/>
      <c r="B27" s="28" t="s">
        <v>156</v>
      </c>
      <c r="C27" s="46"/>
      <c r="D27" s="28">
        <f t="shared" si="0"/>
        <v>31.25</v>
      </c>
      <c r="E27" s="29">
        <f t="shared" si="2"/>
        <v>1.6931774704496945</v>
      </c>
      <c r="F27" s="29">
        <f t="shared" si="3"/>
        <v>52.911795951552953</v>
      </c>
      <c r="G27" s="45"/>
      <c r="H27" s="28">
        <v>235432295.89110023</v>
      </c>
      <c r="I27" s="29">
        <f t="shared" si="1"/>
        <v>0.5</v>
      </c>
      <c r="J27" s="29">
        <f t="shared" si="4"/>
        <v>117716147.94555011</v>
      </c>
      <c r="K27" s="29">
        <f t="shared" si="5"/>
        <v>11.771614794555012</v>
      </c>
      <c r="L27" s="46"/>
      <c r="M27" s="29">
        <f t="shared" si="6"/>
        <v>533.96044708101567</v>
      </c>
      <c r="N27" s="46"/>
      <c r="O27" s="29">
        <f t="shared" si="7"/>
        <v>381.33271344920888</v>
      </c>
      <c r="P27" s="46"/>
      <c r="Q27" s="29">
        <f t="shared" si="8"/>
        <v>979.97657127633249</v>
      </c>
    </row>
    <row r="28" spans="1:17" ht="14.45" customHeight="1">
      <c r="A28" s="28"/>
      <c r="B28" s="28" t="s">
        <v>157</v>
      </c>
      <c r="C28" s="46"/>
      <c r="D28" s="28">
        <f t="shared" si="0"/>
        <v>31.25</v>
      </c>
      <c r="E28" s="29">
        <f t="shared" si="2"/>
        <v>1.7778363439721792</v>
      </c>
      <c r="F28" s="29">
        <f t="shared" si="3"/>
        <v>55.557385749130596</v>
      </c>
      <c r="G28" s="45"/>
      <c r="H28" s="28">
        <v>247203910.68565524</v>
      </c>
      <c r="I28" s="29">
        <f t="shared" si="1"/>
        <v>0.5</v>
      </c>
      <c r="J28" s="29">
        <f t="shared" si="4"/>
        <v>123601955.34282762</v>
      </c>
      <c r="K28" s="29">
        <f t="shared" si="5"/>
        <v>12.360195534282761</v>
      </c>
      <c r="L28" s="46"/>
      <c r="M28" s="29">
        <f t="shared" si="6"/>
        <v>560.65846943506654</v>
      </c>
      <c r="N28" s="46"/>
      <c r="O28" s="29">
        <f t="shared" si="7"/>
        <v>404.21267625616144</v>
      </c>
      <c r="P28" s="46"/>
      <c r="Q28" s="29">
        <f t="shared" si="8"/>
        <v>1032.7887269746413</v>
      </c>
    </row>
    <row r="29" spans="1:17" ht="14.45" customHeight="1">
      <c r="A29" s="28"/>
      <c r="B29" s="28" t="s">
        <v>158</v>
      </c>
      <c r="C29" s="46"/>
      <c r="D29" s="28">
        <f t="shared" si="0"/>
        <v>31.25</v>
      </c>
      <c r="E29" s="29">
        <f t="shared" si="2"/>
        <v>1.8667281611707882</v>
      </c>
      <c r="F29" s="29">
        <f t="shared" si="3"/>
        <v>58.335255036587135</v>
      </c>
      <c r="G29" s="45"/>
      <c r="H29" s="28">
        <v>259564106.21993804</v>
      </c>
      <c r="I29" s="29">
        <f t="shared" si="1"/>
        <v>0.5</v>
      </c>
      <c r="J29" s="29">
        <f t="shared" si="4"/>
        <v>129782053.10996902</v>
      </c>
      <c r="K29" s="29">
        <f t="shared" si="5"/>
        <v>12.978205310996902</v>
      </c>
      <c r="L29" s="46"/>
      <c r="M29" s="29">
        <f t="shared" si="6"/>
        <v>588.69139290681994</v>
      </c>
      <c r="N29" s="46"/>
      <c r="O29" s="29">
        <f t="shared" si="7"/>
        <v>428.46543683153118</v>
      </c>
      <c r="P29" s="46"/>
      <c r="Q29" s="29">
        <f t="shared" si="8"/>
        <v>1088.4702900859352</v>
      </c>
    </row>
    <row r="30" spans="1:17" ht="14.45" customHeight="1">
      <c r="A30" s="28"/>
      <c r="B30" s="28" t="s">
        <v>159</v>
      </c>
      <c r="C30" s="46"/>
      <c r="D30" s="28">
        <f t="shared" si="0"/>
        <v>31.25</v>
      </c>
      <c r="E30" s="29">
        <f t="shared" si="2"/>
        <v>1.9600645692293277</v>
      </c>
      <c r="F30" s="29">
        <f t="shared" si="3"/>
        <v>61.252017788416488</v>
      </c>
      <c r="G30" s="45"/>
      <c r="H30" s="28">
        <v>272542311.53093493</v>
      </c>
      <c r="I30" s="29">
        <f t="shared" si="1"/>
        <v>0.5</v>
      </c>
      <c r="J30" s="29">
        <f t="shared" si="4"/>
        <v>136271155.76546746</v>
      </c>
      <c r="K30" s="29">
        <f t="shared" si="5"/>
        <v>13.627115576546746</v>
      </c>
      <c r="L30" s="46"/>
      <c r="M30" s="29">
        <f t="shared" si="6"/>
        <v>618.12596255216101</v>
      </c>
      <c r="N30" s="46"/>
      <c r="O30" s="29">
        <f t="shared" si="7"/>
        <v>454.17336304142304</v>
      </c>
      <c r="P30" s="46"/>
      <c r="Q30" s="29">
        <f t="shared" si="8"/>
        <v>1147.1784589585473</v>
      </c>
    </row>
    <row r="31" spans="1:17" ht="14.45" customHeight="1">
      <c r="A31" s="28"/>
      <c r="B31" s="28" t="s">
        <v>160</v>
      </c>
      <c r="C31" s="46"/>
      <c r="D31" s="28">
        <f t="shared" si="0"/>
        <v>31.25</v>
      </c>
      <c r="E31" s="29">
        <f t="shared" si="2"/>
        <v>2.0580677976907942</v>
      </c>
      <c r="F31" s="29">
        <f t="shared" si="3"/>
        <v>64.314618677837316</v>
      </c>
      <c r="G31" s="45"/>
      <c r="H31" s="28">
        <v>286169427.10748172</v>
      </c>
      <c r="I31" s="29">
        <f t="shared" si="1"/>
        <v>0.5</v>
      </c>
      <c r="J31" s="29">
        <f t="shared" si="4"/>
        <v>143084713.55374086</v>
      </c>
      <c r="K31" s="29">
        <f t="shared" si="5"/>
        <v>14.308471355374087</v>
      </c>
      <c r="L31" s="46"/>
      <c r="M31" s="29">
        <f t="shared" si="6"/>
        <v>649.03226067976914</v>
      </c>
      <c r="N31" s="46"/>
      <c r="O31" s="29">
        <f t="shared" si="7"/>
        <v>481.42376482390847</v>
      </c>
      <c r="P31" s="46"/>
      <c r="Q31" s="29">
        <f t="shared" si="8"/>
        <v>1209.079115536889</v>
      </c>
    </row>
    <row r="32" spans="1:17" ht="14.45" customHeight="1">
      <c r="A32" s="28"/>
      <c r="B32" s="28" t="s">
        <v>161</v>
      </c>
      <c r="C32" s="46"/>
      <c r="D32" s="28">
        <f t="shared" si="0"/>
        <v>31.25</v>
      </c>
      <c r="E32" s="29">
        <f t="shared" si="2"/>
        <v>2.1609711875753339</v>
      </c>
      <c r="F32" s="29">
        <f t="shared" si="3"/>
        <v>67.530349611729179</v>
      </c>
      <c r="G32" s="45"/>
      <c r="H32" s="28">
        <v>300477898.46285582</v>
      </c>
      <c r="I32" s="29">
        <f t="shared" si="1"/>
        <v>0.5</v>
      </c>
      <c r="J32" s="29">
        <f t="shared" si="4"/>
        <v>150238949.23142791</v>
      </c>
      <c r="K32" s="29">
        <f t="shared" si="5"/>
        <v>15.023894923142791</v>
      </c>
      <c r="L32" s="46"/>
      <c r="M32" s="29">
        <f t="shared" si="6"/>
        <v>681.48387371375759</v>
      </c>
      <c r="N32" s="46"/>
      <c r="O32" s="29">
        <f t="shared" si="7"/>
        <v>510.30919071334301</v>
      </c>
      <c r="P32" s="46"/>
      <c r="Q32" s="29">
        <f t="shared" si="8"/>
        <v>1274.3473089619724</v>
      </c>
    </row>
    <row r="33" spans="1:17" ht="14.45" customHeight="1">
      <c r="A33" s="28"/>
      <c r="B33" s="28" t="s">
        <v>162</v>
      </c>
      <c r="C33" s="46"/>
      <c r="D33" s="28">
        <f t="shared" si="0"/>
        <v>31.25</v>
      </c>
      <c r="E33" s="29">
        <f t="shared" si="2"/>
        <v>2.2690197469541009</v>
      </c>
      <c r="F33" s="29">
        <f t="shared" si="3"/>
        <v>70.90686709231565</v>
      </c>
      <c r="G33" s="45"/>
      <c r="H33" s="28">
        <v>315501793.38599861</v>
      </c>
      <c r="I33" s="29">
        <f t="shared" si="1"/>
        <v>0.5</v>
      </c>
      <c r="J33" s="29">
        <f t="shared" si="4"/>
        <v>157750896.6929993</v>
      </c>
      <c r="K33" s="29">
        <f t="shared" si="5"/>
        <v>15.775089669299931</v>
      </c>
      <c r="L33" s="46"/>
      <c r="M33" s="29">
        <f t="shared" si="6"/>
        <v>715.55806739944546</v>
      </c>
      <c r="N33" s="46"/>
      <c r="O33" s="29">
        <f t="shared" si="7"/>
        <v>540.92774215614361</v>
      </c>
      <c r="P33" s="46"/>
      <c r="Q33" s="29">
        <f t="shared" si="8"/>
        <v>1343.1677663172045</v>
      </c>
    </row>
    <row r="34" spans="1:17" ht="14.45" customHeight="1">
      <c r="A34" s="28"/>
      <c r="B34" s="28" t="s">
        <v>163</v>
      </c>
      <c r="C34" s="46"/>
      <c r="D34" s="28">
        <f t="shared" si="0"/>
        <v>31.25</v>
      </c>
      <c r="E34" s="29">
        <f t="shared" si="2"/>
        <v>2.3824707343018061</v>
      </c>
      <c r="F34" s="29">
        <f t="shared" si="3"/>
        <v>74.452210446931446</v>
      </c>
      <c r="G34" s="45"/>
      <c r="H34" s="28">
        <v>331276883.05529857</v>
      </c>
      <c r="I34" s="29">
        <f t="shared" si="1"/>
        <v>0.5</v>
      </c>
      <c r="J34" s="29">
        <f t="shared" si="4"/>
        <v>165638441.52764928</v>
      </c>
      <c r="K34" s="29">
        <f t="shared" si="5"/>
        <v>16.563844152764929</v>
      </c>
      <c r="L34" s="46"/>
      <c r="M34" s="29">
        <f t="shared" si="6"/>
        <v>751.33597076941771</v>
      </c>
      <c r="N34" s="46"/>
      <c r="O34" s="29">
        <f t="shared" si="7"/>
        <v>573.38340668551223</v>
      </c>
      <c r="P34" s="46"/>
      <c r="Q34" s="29">
        <f t="shared" si="8"/>
        <v>1415.7354320546265</v>
      </c>
    </row>
    <row r="35" spans="1:17" ht="14.45" customHeight="1">
      <c r="A35" s="28"/>
      <c r="B35" s="28" t="s">
        <v>164</v>
      </c>
      <c r="C35" s="46"/>
      <c r="D35" s="28">
        <f t="shared" si="0"/>
        <v>31.25</v>
      </c>
      <c r="E35" s="29">
        <f t="shared" si="2"/>
        <v>2.5015942710168964</v>
      </c>
      <c r="F35" s="29">
        <f t="shared" si="3"/>
        <v>78.174820969278016</v>
      </c>
      <c r="G35" s="45"/>
      <c r="H35" s="28">
        <v>347840727.20806348</v>
      </c>
      <c r="I35" s="29">
        <f t="shared" si="1"/>
        <v>0.5</v>
      </c>
      <c r="J35" s="29">
        <f t="shared" si="4"/>
        <v>173920363.60403174</v>
      </c>
      <c r="K35" s="29">
        <f t="shared" si="5"/>
        <v>17.392036360403175</v>
      </c>
      <c r="L35" s="46"/>
      <c r="M35" s="29">
        <f t="shared" si="6"/>
        <v>788.90276930788866</v>
      </c>
      <c r="N35" s="46"/>
      <c r="O35" s="29">
        <f t="shared" si="7"/>
        <v>607.78641108664294</v>
      </c>
      <c r="P35" s="46"/>
      <c r="Q35" s="29">
        <f t="shared" si="8"/>
        <v>1492.2560377242128</v>
      </c>
    </row>
    <row r="36" spans="1:17" ht="14.45" customHeight="1">
      <c r="A36" s="28"/>
      <c r="B36" s="28" t="s">
        <v>165</v>
      </c>
      <c r="C36" s="46"/>
      <c r="D36" s="28">
        <f t="shared" si="0"/>
        <v>31.25</v>
      </c>
      <c r="E36" s="29">
        <f t="shared" si="2"/>
        <v>2.6266739845677414</v>
      </c>
      <c r="F36" s="29">
        <f t="shared" si="3"/>
        <v>82.083562017741912</v>
      </c>
      <c r="G36" s="45"/>
      <c r="H36" s="28">
        <v>365232763.56846666</v>
      </c>
      <c r="I36" s="29">
        <f t="shared" si="1"/>
        <v>0.5</v>
      </c>
      <c r="J36" s="29">
        <f t="shared" si="4"/>
        <v>182616381.78423333</v>
      </c>
      <c r="K36" s="29">
        <f t="shared" si="5"/>
        <v>18.261638178423333</v>
      </c>
      <c r="L36" s="46"/>
      <c r="M36" s="29">
        <f t="shared" si="6"/>
        <v>828.34790777328317</v>
      </c>
      <c r="N36" s="46"/>
      <c r="O36" s="29">
        <f t="shared" si="7"/>
        <v>644.25359575184154</v>
      </c>
      <c r="P36" s="46"/>
      <c r="Q36" s="29">
        <f t="shared" si="8"/>
        <v>1572.9467037212899</v>
      </c>
    </row>
  </sheetData>
  <mergeCells count="5">
    <mergeCell ref="G2:G36"/>
    <mergeCell ref="C2:C36"/>
    <mergeCell ref="L2:L36"/>
    <mergeCell ref="N2:N36"/>
    <mergeCell ref="P2:P36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CEC92-9505-4D44-B1F2-630242AAAFB3}">
  <dimension ref="A1:H61"/>
  <sheetViews>
    <sheetView zoomScale="130" zoomScaleNormal="130" workbookViewId="0">
      <selection activeCell="A2" sqref="A2:H61"/>
    </sheetView>
  </sheetViews>
  <sheetFormatPr defaultRowHeight="14.45"/>
  <cols>
    <col min="2" max="2" width="13.28515625" bestFit="1" customWidth="1"/>
    <col min="3" max="3" width="11.5703125" bestFit="1" customWidth="1"/>
    <col min="4" max="4" width="14.140625" bestFit="1" customWidth="1"/>
    <col min="5" max="7" width="14.140625" customWidth="1"/>
    <col min="8" max="8" width="12.7109375" customWidth="1"/>
  </cols>
  <sheetData>
    <row r="1" spans="1:8" ht="34.5" customHeight="1">
      <c r="A1" s="26"/>
      <c r="B1" s="26" t="s">
        <v>35</v>
      </c>
      <c r="C1" s="26" t="s">
        <v>37</v>
      </c>
      <c r="D1" s="26" t="s">
        <v>38</v>
      </c>
      <c r="E1" s="26" t="s">
        <v>166</v>
      </c>
      <c r="F1" s="26" t="s">
        <v>167</v>
      </c>
      <c r="G1" s="26" t="s">
        <v>168</v>
      </c>
      <c r="H1" s="26" t="s">
        <v>169</v>
      </c>
    </row>
    <row r="2" spans="1:8" ht="15">
      <c r="A2" s="20" t="s">
        <v>170</v>
      </c>
      <c r="B2" s="22">
        <f t="shared" ref="B2:B33" si="0">Dep_Civilstruct</f>
        <v>66.5</v>
      </c>
      <c r="C2" s="22">
        <f t="shared" ref="C2:C31" si="1">Dep_Roling</f>
        <v>38</v>
      </c>
      <c r="D2" s="23">
        <f t="shared" ref="D2:D16" si="2">Dep_scada</f>
        <v>76</v>
      </c>
      <c r="E2" s="23">
        <v>45.6</v>
      </c>
      <c r="F2" s="23">
        <v>38</v>
      </c>
      <c r="G2" s="24">
        <v>15.2</v>
      </c>
      <c r="H2" s="23">
        <f>SUM(B2:G2)</f>
        <v>279.3</v>
      </c>
    </row>
    <row r="3" spans="1:8" ht="15">
      <c r="A3" s="20" t="s">
        <v>79</v>
      </c>
      <c r="B3" s="22">
        <f t="shared" si="0"/>
        <v>66.5</v>
      </c>
      <c r="C3" s="22">
        <f t="shared" si="1"/>
        <v>38</v>
      </c>
      <c r="D3" s="23">
        <f t="shared" si="2"/>
        <v>76</v>
      </c>
      <c r="E3" s="23">
        <v>45.6</v>
      </c>
      <c r="F3" s="23">
        <v>38</v>
      </c>
      <c r="G3" s="24">
        <v>15.2</v>
      </c>
      <c r="H3" s="23">
        <f t="shared" ref="H3:H61" si="3">SUM(B3:G3)</f>
        <v>279.3</v>
      </c>
    </row>
    <row r="4" spans="1:8" ht="15">
      <c r="A4" s="20" t="s">
        <v>171</v>
      </c>
      <c r="B4" s="22">
        <f t="shared" si="0"/>
        <v>66.5</v>
      </c>
      <c r="C4" s="22">
        <f t="shared" si="1"/>
        <v>38</v>
      </c>
      <c r="D4" s="23">
        <f t="shared" si="2"/>
        <v>76</v>
      </c>
      <c r="E4" s="23">
        <v>45.6</v>
      </c>
      <c r="F4" s="23">
        <v>38</v>
      </c>
      <c r="G4" s="24">
        <v>15.2</v>
      </c>
      <c r="H4" s="23">
        <f t="shared" si="3"/>
        <v>279.3</v>
      </c>
    </row>
    <row r="5" spans="1:8" ht="15">
      <c r="A5" s="20" t="s">
        <v>81</v>
      </c>
      <c r="B5" s="22">
        <f t="shared" si="0"/>
        <v>66.5</v>
      </c>
      <c r="C5" s="22">
        <f t="shared" si="1"/>
        <v>38</v>
      </c>
      <c r="D5" s="23">
        <f t="shared" si="2"/>
        <v>76</v>
      </c>
      <c r="E5" s="23">
        <v>45.6</v>
      </c>
      <c r="F5" s="23">
        <v>38</v>
      </c>
      <c r="G5" s="24">
        <v>15.2</v>
      </c>
      <c r="H5" s="23">
        <f t="shared" si="3"/>
        <v>279.3</v>
      </c>
    </row>
    <row r="6" spans="1:8" ht="15">
      <c r="A6" s="20" t="s">
        <v>82</v>
      </c>
      <c r="B6" s="22">
        <f t="shared" si="0"/>
        <v>66.5</v>
      </c>
      <c r="C6" s="22">
        <f t="shared" si="1"/>
        <v>38</v>
      </c>
      <c r="D6" s="23">
        <f t="shared" si="2"/>
        <v>76</v>
      </c>
      <c r="E6" s="23">
        <v>45.6</v>
      </c>
      <c r="F6" s="23">
        <v>38</v>
      </c>
      <c r="G6" s="24">
        <v>15.2</v>
      </c>
      <c r="H6" s="23">
        <f t="shared" si="3"/>
        <v>279.3</v>
      </c>
    </row>
    <row r="7" spans="1:8" ht="15">
      <c r="A7" s="20" t="s">
        <v>83</v>
      </c>
      <c r="B7" s="22">
        <f t="shared" si="0"/>
        <v>66.5</v>
      </c>
      <c r="C7" s="22">
        <f t="shared" si="1"/>
        <v>38</v>
      </c>
      <c r="D7" s="23">
        <f t="shared" si="2"/>
        <v>76</v>
      </c>
      <c r="E7" s="23">
        <v>45.6</v>
      </c>
      <c r="F7" s="23">
        <v>38</v>
      </c>
      <c r="G7" s="24">
        <v>15.2</v>
      </c>
      <c r="H7" s="23">
        <f t="shared" si="3"/>
        <v>279.3</v>
      </c>
    </row>
    <row r="8" spans="1:8" ht="15">
      <c r="A8" s="20" t="s">
        <v>84</v>
      </c>
      <c r="B8" s="22">
        <f t="shared" si="0"/>
        <v>66.5</v>
      </c>
      <c r="C8" s="22">
        <f t="shared" si="1"/>
        <v>38</v>
      </c>
      <c r="D8" s="23">
        <f t="shared" si="2"/>
        <v>76</v>
      </c>
      <c r="E8" s="23">
        <v>45.6</v>
      </c>
      <c r="F8" s="23">
        <v>38</v>
      </c>
      <c r="G8" s="24">
        <v>15.2</v>
      </c>
      <c r="H8" s="23">
        <f t="shared" si="3"/>
        <v>279.3</v>
      </c>
    </row>
    <row r="9" spans="1:8" ht="15">
      <c r="A9" s="20" t="s">
        <v>85</v>
      </c>
      <c r="B9" s="22">
        <f t="shared" si="0"/>
        <v>66.5</v>
      </c>
      <c r="C9" s="22">
        <f t="shared" si="1"/>
        <v>38</v>
      </c>
      <c r="D9" s="23">
        <f t="shared" si="2"/>
        <v>76</v>
      </c>
      <c r="E9" s="23">
        <v>45.6</v>
      </c>
      <c r="F9" s="23">
        <v>38</v>
      </c>
      <c r="G9" s="24">
        <v>15.2</v>
      </c>
      <c r="H9" s="23">
        <f t="shared" si="3"/>
        <v>279.3</v>
      </c>
    </row>
    <row r="10" spans="1:8" ht="15">
      <c r="A10" s="20" t="s">
        <v>86</v>
      </c>
      <c r="B10" s="22">
        <f t="shared" si="0"/>
        <v>66.5</v>
      </c>
      <c r="C10" s="22">
        <f t="shared" si="1"/>
        <v>38</v>
      </c>
      <c r="D10" s="23">
        <f t="shared" si="2"/>
        <v>76</v>
      </c>
      <c r="E10" s="23">
        <v>45.6</v>
      </c>
      <c r="F10" s="23">
        <v>38</v>
      </c>
      <c r="G10" s="24">
        <v>15.2</v>
      </c>
      <c r="H10" s="23">
        <f t="shared" si="3"/>
        <v>279.3</v>
      </c>
    </row>
    <row r="11" spans="1:8" ht="15">
      <c r="A11" s="20" t="s">
        <v>87</v>
      </c>
      <c r="B11" s="22">
        <f t="shared" si="0"/>
        <v>66.5</v>
      </c>
      <c r="C11" s="22">
        <f t="shared" si="1"/>
        <v>38</v>
      </c>
      <c r="D11" s="23">
        <f t="shared" si="2"/>
        <v>76</v>
      </c>
      <c r="E11" s="23">
        <v>45.6</v>
      </c>
      <c r="F11" s="23">
        <v>38</v>
      </c>
      <c r="G11" s="24">
        <v>15.2</v>
      </c>
      <c r="H11" s="23">
        <f t="shared" si="3"/>
        <v>279.3</v>
      </c>
    </row>
    <row r="12" spans="1:8" ht="15">
      <c r="A12" s="20" t="s">
        <v>88</v>
      </c>
      <c r="B12" s="22">
        <f t="shared" si="0"/>
        <v>66.5</v>
      </c>
      <c r="C12" s="22">
        <f t="shared" si="1"/>
        <v>38</v>
      </c>
      <c r="D12" s="23">
        <f t="shared" si="2"/>
        <v>76</v>
      </c>
      <c r="E12" s="23">
        <v>45.6</v>
      </c>
      <c r="F12" s="23">
        <v>38</v>
      </c>
      <c r="G12" s="24">
        <v>15.2</v>
      </c>
      <c r="H12" s="23">
        <f t="shared" si="3"/>
        <v>279.3</v>
      </c>
    </row>
    <row r="13" spans="1:8" ht="15">
      <c r="A13" s="20" t="s">
        <v>89</v>
      </c>
      <c r="B13" s="22">
        <f t="shared" si="0"/>
        <v>66.5</v>
      </c>
      <c r="C13" s="22">
        <f t="shared" si="1"/>
        <v>38</v>
      </c>
      <c r="D13" s="23">
        <f t="shared" si="2"/>
        <v>76</v>
      </c>
      <c r="E13" s="23">
        <v>45.6</v>
      </c>
      <c r="F13" s="23">
        <v>38</v>
      </c>
      <c r="G13" s="24">
        <v>15.2</v>
      </c>
      <c r="H13" s="23">
        <f t="shared" si="3"/>
        <v>279.3</v>
      </c>
    </row>
    <row r="14" spans="1:8" ht="15">
      <c r="A14" s="20" t="s">
        <v>90</v>
      </c>
      <c r="B14" s="22">
        <f t="shared" si="0"/>
        <v>66.5</v>
      </c>
      <c r="C14" s="22">
        <f t="shared" si="1"/>
        <v>38</v>
      </c>
      <c r="D14" s="23">
        <f t="shared" si="2"/>
        <v>76</v>
      </c>
      <c r="E14" s="23">
        <v>45.6</v>
      </c>
      <c r="F14" s="23">
        <v>38</v>
      </c>
      <c r="G14" s="24">
        <v>15.2</v>
      </c>
      <c r="H14" s="23">
        <f t="shared" si="3"/>
        <v>279.3</v>
      </c>
    </row>
    <row r="15" spans="1:8" ht="15">
      <c r="A15" s="20" t="s">
        <v>91</v>
      </c>
      <c r="B15" s="22">
        <f t="shared" si="0"/>
        <v>66.5</v>
      </c>
      <c r="C15" s="22">
        <f t="shared" si="1"/>
        <v>38</v>
      </c>
      <c r="D15" s="23">
        <f t="shared" si="2"/>
        <v>76</v>
      </c>
      <c r="E15" s="23">
        <v>45.6</v>
      </c>
      <c r="F15" s="23">
        <v>38</v>
      </c>
      <c r="G15" s="24">
        <v>15.2</v>
      </c>
      <c r="H15" s="23">
        <f t="shared" si="3"/>
        <v>279.3</v>
      </c>
    </row>
    <row r="16" spans="1:8" ht="15">
      <c r="A16" s="20" t="s">
        <v>92</v>
      </c>
      <c r="B16" s="22">
        <f t="shared" si="0"/>
        <v>66.5</v>
      </c>
      <c r="C16" s="22">
        <f t="shared" si="1"/>
        <v>38</v>
      </c>
      <c r="D16" s="23">
        <f t="shared" si="2"/>
        <v>76</v>
      </c>
      <c r="E16" s="23">
        <v>45.6</v>
      </c>
      <c r="F16" s="23">
        <v>38</v>
      </c>
      <c r="G16" s="24">
        <v>15.2</v>
      </c>
      <c r="H16" s="23">
        <f t="shared" si="3"/>
        <v>279.3</v>
      </c>
    </row>
    <row r="17" spans="1:8" ht="15">
      <c r="A17" s="20" t="s">
        <v>93</v>
      </c>
      <c r="B17" s="22">
        <f t="shared" si="0"/>
        <v>66.5</v>
      </c>
      <c r="C17" s="22">
        <f t="shared" si="1"/>
        <v>38</v>
      </c>
      <c r="D17" s="23"/>
      <c r="E17" s="23">
        <v>45.6</v>
      </c>
      <c r="F17" s="23"/>
      <c r="G17" s="24"/>
      <c r="H17" s="23">
        <f t="shared" si="3"/>
        <v>150.1</v>
      </c>
    </row>
    <row r="18" spans="1:8" ht="15">
      <c r="A18" s="20" t="s">
        <v>94</v>
      </c>
      <c r="B18" s="22">
        <f t="shared" si="0"/>
        <v>66.5</v>
      </c>
      <c r="C18" s="22">
        <f t="shared" si="1"/>
        <v>38</v>
      </c>
      <c r="D18" s="23"/>
      <c r="E18" s="23">
        <v>45.6</v>
      </c>
      <c r="F18" s="23"/>
      <c r="G18" s="24"/>
      <c r="H18" s="23">
        <f t="shared" si="3"/>
        <v>150.1</v>
      </c>
    </row>
    <row r="19" spans="1:8" ht="15">
      <c r="A19" s="20" t="s">
        <v>95</v>
      </c>
      <c r="B19" s="22">
        <f t="shared" si="0"/>
        <v>66.5</v>
      </c>
      <c r="C19" s="22">
        <f t="shared" si="1"/>
        <v>38</v>
      </c>
      <c r="D19" s="23"/>
      <c r="E19" s="23">
        <v>45.6</v>
      </c>
      <c r="F19" s="23"/>
      <c r="G19" s="24"/>
      <c r="H19" s="23">
        <f t="shared" si="3"/>
        <v>150.1</v>
      </c>
    </row>
    <row r="20" spans="1:8" ht="15">
      <c r="A20" s="20" t="s">
        <v>96</v>
      </c>
      <c r="B20" s="22">
        <f t="shared" si="0"/>
        <v>66.5</v>
      </c>
      <c r="C20" s="22">
        <f t="shared" si="1"/>
        <v>38</v>
      </c>
      <c r="D20" s="23"/>
      <c r="E20" s="23">
        <v>45.6</v>
      </c>
      <c r="F20" s="23"/>
      <c r="G20" s="24"/>
      <c r="H20" s="23">
        <f t="shared" si="3"/>
        <v>150.1</v>
      </c>
    </row>
    <row r="21" spans="1:8" ht="15">
      <c r="A21" s="20" t="s">
        <v>97</v>
      </c>
      <c r="B21" s="22">
        <f t="shared" si="0"/>
        <v>66.5</v>
      </c>
      <c r="C21" s="22">
        <f t="shared" si="1"/>
        <v>38</v>
      </c>
      <c r="D21" s="23"/>
      <c r="E21" s="23">
        <v>45.6</v>
      </c>
      <c r="F21" s="23"/>
      <c r="G21" s="24"/>
      <c r="H21" s="23">
        <f t="shared" si="3"/>
        <v>150.1</v>
      </c>
    </row>
    <row r="22" spans="1:8" ht="15">
      <c r="A22" s="20" t="s">
        <v>98</v>
      </c>
      <c r="B22" s="22">
        <f t="shared" si="0"/>
        <v>66.5</v>
      </c>
      <c r="C22" s="22">
        <f t="shared" si="1"/>
        <v>38</v>
      </c>
      <c r="D22" s="23"/>
      <c r="E22" s="23"/>
      <c r="F22" s="23"/>
      <c r="G22" s="24"/>
      <c r="H22" s="23">
        <f t="shared" si="3"/>
        <v>104.5</v>
      </c>
    </row>
    <row r="23" spans="1:8" ht="15">
      <c r="A23" s="20" t="s">
        <v>99</v>
      </c>
      <c r="B23" s="22">
        <f t="shared" si="0"/>
        <v>66.5</v>
      </c>
      <c r="C23" s="22">
        <f t="shared" si="1"/>
        <v>38</v>
      </c>
      <c r="D23" s="23"/>
      <c r="E23" s="23"/>
      <c r="F23" s="23"/>
      <c r="G23" s="24"/>
      <c r="H23" s="23">
        <f t="shared" si="3"/>
        <v>104.5</v>
      </c>
    </row>
    <row r="24" spans="1:8" ht="15">
      <c r="A24" s="20" t="s">
        <v>100</v>
      </c>
      <c r="B24" s="22">
        <f t="shared" si="0"/>
        <v>66.5</v>
      </c>
      <c r="C24" s="22">
        <f t="shared" si="1"/>
        <v>38</v>
      </c>
      <c r="D24" s="23"/>
      <c r="E24" s="23"/>
      <c r="F24" s="23"/>
      <c r="G24" s="24"/>
      <c r="H24" s="23">
        <f t="shared" si="3"/>
        <v>104.5</v>
      </c>
    </row>
    <row r="25" spans="1:8" ht="15">
      <c r="A25" s="20" t="s">
        <v>101</v>
      </c>
      <c r="B25" s="22">
        <f t="shared" si="0"/>
        <v>66.5</v>
      </c>
      <c r="C25" s="22">
        <f t="shared" si="1"/>
        <v>38</v>
      </c>
      <c r="D25" s="23"/>
      <c r="E25" s="23"/>
      <c r="F25" s="23"/>
      <c r="G25" s="24"/>
      <c r="H25" s="23">
        <f t="shared" si="3"/>
        <v>104.5</v>
      </c>
    </row>
    <row r="26" spans="1:8" ht="15">
      <c r="A26" s="20" t="s">
        <v>102</v>
      </c>
      <c r="B26" s="22">
        <f t="shared" si="0"/>
        <v>66.5</v>
      </c>
      <c r="C26" s="22">
        <f t="shared" si="1"/>
        <v>38</v>
      </c>
      <c r="D26" s="23"/>
      <c r="E26" s="23"/>
      <c r="F26" s="23"/>
      <c r="G26" s="24"/>
      <c r="H26" s="23">
        <f t="shared" si="3"/>
        <v>104.5</v>
      </c>
    </row>
    <row r="27" spans="1:8" ht="15">
      <c r="A27" s="20" t="s">
        <v>103</v>
      </c>
      <c r="B27" s="22">
        <f t="shared" si="0"/>
        <v>66.5</v>
      </c>
      <c r="C27" s="22">
        <f t="shared" si="1"/>
        <v>38</v>
      </c>
      <c r="D27" s="23"/>
      <c r="E27" s="23"/>
      <c r="F27" s="23"/>
      <c r="G27" s="24"/>
      <c r="H27" s="23">
        <f t="shared" si="3"/>
        <v>104.5</v>
      </c>
    </row>
    <row r="28" spans="1:8" ht="15">
      <c r="A28" s="20" t="s">
        <v>104</v>
      </c>
      <c r="B28" s="22">
        <f t="shared" si="0"/>
        <v>66.5</v>
      </c>
      <c r="C28" s="22">
        <f t="shared" si="1"/>
        <v>38</v>
      </c>
      <c r="D28" s="23"/>
      <c r="E28" s="23"/>
      <c r="F28" s="23"/>
      <c r="G28" s="24"/>
      <c r="H28" s="23">
        <f t="shared" si="3"/>
        <v>104.5</v>
      </c>
    </row>
    <row r="29" spans="1:8" ht="15">
      <c r="A29" s="20" t="s">
        <v>105</v>
      </c>
      <c r="B29" s="22">
        <f t="shared" si="0"/>
        <v>66.5</v>
      </c>
      <c r="C29" s="22">
        <f t="shared" si="1"/>
        <v>38</v>
      </c>
      <c r="D29" s="23"/>
      <c r="E29" s="23"/>
      <c r="F29" s="23"/>
      <c r="G29" s="24"/>
      <c r="H29" s="23">
        <f t="shared" si="3"/>
        <v>104.5</v>
      </c>
    </row>
    <row r="30" spans="1:8" ht="15">
      <c r="A30" s="20" t="s">
        <v>106</v>
      </c>
      <c r="B30" s="22">
        <f t="shared" si="0"/>
        <v>66.5</v>
      </c>
      <c r="C30" s="22">
        <f t="shared" si="1"/>
        <v>38</v>
      </c>
      <c r="D30" s="23"/>
      <c r="E30" s="23"/>
      <c r="F30" s="23"/>
      <c r="G30" s="24"/>
      <c r="H30" s="23">
        <f t="shared" si="3"/>
        <v>104.5</v>
      </c>
    </row>
    <row r="31" spans="1:8" ht="15">
      <c r="A31" s="20" t="s">
        <v>107</v>
      </c>
      <c r="B31" s="22">
        <f t="shared" si="0"/>
        <v>66.5</v>
      </c>
      <c r="C31" s="22">
        <f t="shared" si="1"/>
        <v>38</v>
      </c>
      <c r="D31" s="23"/>
      <c r="E31" s="23"/>
      <c r="F31" s="23"/>
      <c r="G31" s="24"/>
      <c r="H31" s="23">
        <f t="shared" si="3"/>
        <v>104.5</v>
      </c>
    </row>
    <row r="32" spans="1:8" ht="15">
      <c r="A32" s="20" t="s">
        <v>108</v>
      </c>
      <c r="B32" s="22">
        <f t="shared" si="0"/>
        <v>66.5</v>
      </c>
      <c r="C32" s="22"/>
      <c r="D32" s="23"/>
      <c r="E32" s="23"/>
      <c r="F32" s="23"/>
      <c r="G32" s="24"/>
      <c r="H32" s="23">
        <f t="shared" si="3"/>
        <v>66.5</v>
      </c>
    </row>
    <row r="33" spans="1:8" ht="15">
      <c r="A33" s="20" t="s">
        <v>109</v>
      </c>
      <c r="B33" s="22">
        <f t="shared" si="0"/>
        <v>66.5</v>
      </c>
      <c r="C33" s="22"/>
      <c r="D33" s="23"/>
      <c r="E33" s="23"/>
      <c r="F33" s="23"/>
      <c r="G33" s="24"/>
      <c r="H33" s="23">
        <f t="shared" si="3"/>
        <v>66.5</v>
      </c>
    </row>
    <row r="34" spans="1:8" ht="15">
      <c r="A34" s="20" t="s">
        <v>110</v>
      </c>
      <c r="B34" s="22">
        <f t="shared" ref="B34:B61" si="4">Dep_Civilstruct</f>
        <v>66.5</v>
      </c>
      <c r="C34" s="22"/>
      <c r="D34" s="23"/>
      <c r="E34" s="23"/>
      <c r="F34" s="23"/>
      <c r="G34" s="24"/>
      <c r="H34" s="23">
        <f t="shared" si="3"/>
        <v>66.5</v>
      </c>
    </row>
    <row r="35" spans="1:8" ht="15">
      <c r="A35" s="20" t="s">
        <v>111</v>
      </c>
      <c r="B35" s="22">
        <f t="shared" si="4"/>
        <v>66.5</v>
      </c>
      <c r="C35" s="22"/>
      <c r="D35" s="23"/>
      <c r="E35" s="23"/>
      <c r="F35" s="23"/>
      <c r="G35" s="24"/>
      <c r="H35" s="23">
        <f t="shared" si="3"/>
        <v>66.5</v>
      </c>
    </row>
    <row r="36" spans="1:8" ht="15">
      <c r="A36" s="20" t="s">
        <v>112</v>
      </c>
      <c r="B36" s="22">
        <f t="shared" si="4"/>
        <v>66.5</v>
      </c>
      <c r="C36" s="22"/>
      <c r="D36" s="23"/>
      <c r="E36" s="23"/>
      <c r="F36" s="23"/>
      <c r="G36" s="24"/>
      <c r="H36" s="23">
        <f t="shared" si="3"/>
        <v>66.5</v>
      </c>
    </row>
    <row r="37" spans="1:8" ht="15">
      <c r="A37" s="20" t="s">
        <v>172</v>
      </c>
      <c r="B37" s="22">
        <f t="shared" si="4"/>
        <v>66.5</v>
      </c>
      <c r="C37" s="22"/>
      <c r="D37" s="23"/>
      <c r="E37" s="23"/>
      <c r="F37" s="23"/>
      <c r="G37" s="24"/>
      <c r="H37" s="23">
        <f t="shared" si="3"/>
        <v>66.5</v>
      </c>
    </row>
    <row r="38" spans="1:8" ht="15">
      <c r="A38" s="20" t="s">
        <v>173</v>
      </c>
      <c r="B38" s="22">
        <f t="shared" si="4"/>
        <v>66.5</v>
      </c>
      <c r="C38" s="22"/>
      <c r="D38" s="23"/>
      <c r="E38" s="23"/>
      <c r="F38" s="23"/>
      <c r="G38" s="24"/>
      <c r="H38" s="23">
        <f t="shared" si="3"/>
        <v>66.5</v>
      </c>
    </row>
    <row r="39" spans="1:8" ht="15">
      <c r="A39" s="20" t="s">
        <v>174</v>
      </c>
      <c r="B39" s="22">
        <f t="shared" si="4"/>
        <v>66.5</v>
      </c>
      <c r="C39" s="22"/>
      <c r="D39" s="23"/>
      <c r="E39" s="23"/>
      <c r="F39" s="23"/>
      <c r="G39" s="24"/>
      <c r="H39" s="23">
        <f t="shared" si="3"/>
        <v>66.5</v>
      </c>
    </row>
    <row r="40" spans="1:8" ht="15">
      <c r="A40" s="20" t="s">
        <v>175</v>
      </c>
      <c r="B40" s="22">
        <f t="shared" si="4"/>
        <v>66.5</v>
      </c>
      <c r="C40" s="22"/>
      <c r="D40" s="23"/>
      <c r="E40" s="23"/>
      <c r="F40" s="23"/>
      <c r="G40" s="24"/>
      <c r="H40" s="23">
        <f t="shared" si="3"/>
        <v>66.5</v>
      </c>
    </row>
    <row r="41" spans="1:8" ht="15">
      <c r="A41" s="20" t="s">
        <v>176</v>
      </c>
      <c r="B41" s="22">
        <f t="shared" si="4"/>
        <v>66.5</v>
      </c>
      <c r="C41" s="22"/>
      <c r="D41" s="23"/>
      <c r="E41" s="23"/>
      <c r="F41" s="23"/>
      <c r="G41" s="24"/>
      <c r="H41" s="23">
        <f t="shared" si="3"/>
        <v>66.5</v>
      </c>
    </row>
    <row r="42" spans="1:8" ht="15">
      <c r="A42" s="20" t="s">
        <v>177</v>
      </c>
      <c r="B42" s="22">
        <f t="shared" si="4"/>
        <v>66.5</v>
      </c>
      <c r="C42" s="22"/>
      <c r="D42" s="23"/>
      <c r="E42" s="23"/>
      <c r="F42" s="23"/>
      <c r="G42" s="24"/>
      <c r="H42" s="23">
        <f t="shared" si="3"/>
        <v>66.5</v>
      </c>
    </row>
    <row r="43" spans="1:8" ht="15">
      <c r="A43" s="20" t="s">
        <v>178</v>
      </c>
      <c r="B43" s="22">
        <f t="shared" si="4"/>
        <v>66.5</v>
      </c>
      <c r="C43" s="22"/>
      <c r="D43" s="23"/>
      <c r="E43" s="23"/>
      <c r="F43" s="23"/>
      <c r="G43" s="24"/>
      <c r="H43" s="23">
        <f t="shared" si="3"/>
        <v>66.5</v>
      </c>
    </row>
    <row r="44" spans="1:8" ht="15">
      <c r="A44" s="20" t="s">
        <v>179</v>
      </c>
      <c r="B44" s="22">
        <f t="shared" si="4"/>
        <v>66.5</v>
      </c>
      <c r="C44" s="22"/>
      <c r="D44" s="23"/>
      <c r="E44" s="23"/>
      <c r="F44" s="23"/>
      <c r="G44" s="24"/>
      <c r="H44" s="23">
        <f t="shared" si="3"/>
        <v>66.5</v>
      </c>
    </row>
    <row r="45" spans="1:8" ht="15">
      <c r="A45" s="20" t="s">
        <v>180</v>
      </c>
      <c r="B45" s="22">
        <f t="shared" si="4"/>
        <v>66.5</v>
      </c>
      <c r="C45" s="22"/>
      <c r="D45" s="23"/>
      <c r="E45" s="23"/>
      <c r="F45" s="23"/>
      <c r="G45" s="24"/>
      <c r="H45" s="23">
        <f t="shared" si="3"/>
        <v>66.5</v>
      </c>
    </row>
    <row r="46" spans="1:8" ht="15">
      <c r="A46" s="20" t="s">
        <v>181</v>
      </c>
      <c r="B46" s="22">
        <f t="shared" si="4"/>
        <v>66.5</v>
      </c>
      <c r="C46" s="22"/>
      <c r="D46" s="23"/>
      <c r="E46" s="23"/>
      <c r="F46" s="23"/>
      <c r="G46" s="24"/>
      <c r="H46" s="23">
        <f t="shared" si="3"/>
        <v>66.5</v>
      </c>
    </row>
    <row r="47" spans="1:8" ht="15">
      <c r="A47" s="20" t="s">
        <v>182</v>
      </c>
      <c r="B47" s="22">
        <f t="shared" si="4"/>
        <v>66.5</v>
      </c>
      <c r="C47" s="22"/>
      <c r="D47" s="23"/>
      <c r="E47" s="23"/>
      <c r="F47" s="23"/>
      <c r="G47" s="24"/>
      <c r="H47" s="23">
        <f t="shared" si="3"/>
        <v>66.5</v>
      </c>
    </row>
    <row r="48" spans="1:8" ht="15">
      <c r="A48" s="20" t="s">
        <v>183</v>
      </c>
      <c r="B48" s="22">
        <f t="shared" si="4"/>
        <v>66.5</v>
      </c>
      <c r="C48" s="22"/>
      <c r="D48" s="23"/>
      <c r="E48" s="23"/>
      <c r="F48" s="23"/>
      <c r="G48" s="24"/>
      <c r="H48" s="23">
        <f t="shared" si="3"/>
        <v>66.5</v>
      </c>
    </row>
    <row r="49" spans="1:8" ht="15">
      <c r="A49" s="20" t="s">
        <v>184</v>
      </c>
      <c r="B49" s="22">
        <f t="shared" si="4"/>
        <v>66.5</v>
      </c>
      <c r="C49" s="22"/>
      <c r="D49" s="23"/>
      <c r="E49" s="23"/>
      <c r="F49" s="23"/>
      <c r="G49" s="24"/>
      <c r="H49" s="23">
        <f t="shared" si="3"/>
        <v>66.5</v>
      </c>
    </row>
    <row r="50" spans="1:8" ht="15">
      <c r="A50" s="20" t="s">
        <v>185</v>
      </c>
      <c r="B50" s="22">
        <f t="shared" si="4"/>
        <v>66.5</v>
      </c>
      <c r="C50" s="22"/>
      <c r="D50" s="23"/>
      <c r="E50" s="23"/>
      <c r="F50" s="23"/>
      <c r="G50" s="24"/>
      <c r="H50" s="23">
        <f t="shared" si="3"/>
        <v>66.5</v>
      </c>
    </row>
    <row r="51" spans="1:8" ht="15">
      <c r="A51" s="20" t="s">
        <v>186</v>
      </c>
      <c r="B51" s="22">
        <f t="shared" si="4"/>
        <v>66.5</v>
      </c>
      <c r="C51" s="22"/>
      <c r="D51" s="23"/>
      <c r="E51" s="23"/>
      <c r="F51" s="23"/>
      <c r="G51" s="24"/>
      <c r="H51" s="23">
        <f t="shared" si="3"/>
        <v>66.5</v>
      </c>
    </row>
    <row r="52" spans="1:8" ht="15">
      <c r="A52" s="20" t="s">
        <v>187</v>
      </c>
      <c r="B52" s="22">
        <f t="shared" si="4"/>
        <v>66.5</v>
      </c>
      <c r="C52" s="22"/>
      <c r="D52" s="23"/>
      <c r="E52" s="23"/>
      <c r="F52" s="23"/>
      <c r="G52" s="24"/>
      <c r="H52" s="23">
        <f t="shared" si="3"/>
        <v>66.5</v>
      </c>
    </row>
    <row r="53" spans="1:8" ht="15">
      <c r="A53" s="20" t="s">
        <v>188</v>
      </c>
      <c r="B53" s="22">
        <f t="shared" si="4"/>
        <v>66.5</v>
      </c>
      <c r="C53" s="22"/>
      <c r="D53" s="23"/>
      <c r="E53" s="23"/>
      <c r="F53" s="23"/>
      <c r="G53" s="24"/>
      <c r="H53" s="23">
        <f t="shared" si="3"/>
        <v>66.5</v>
      </c>
    </row>
    <row r="54" spans="1:8" ht="15">
      <c r="A54" s="20" t="s">
        <v>189</v>
      </c>
      <c r="B54" s="22">
        <f t="shared" si="4"/>
        <v>66.5</v>
      </c>
      <c r="C54" s="22"/>
      <c r="D54" s="23"/>
      <c r="E54" s="23"/>
      <c r="F54" s="23"/>
      <c r="G54" s="24"/>
      <c r="H54" s="23">
        <f t="shared" si="3"/>
        <v>66.5</v>
      </c>
    </row>
    <row r="55" spans="1:8" ht="15">
      <c r="A55" s="20" t="s">
        <v>190</v>
      </c>
      <c r="B55" s="22">
        <f t="shared" si="4"/>
        <v>66.5</v>
      </c>
      <c r="C55" s="22"/>
      <c r="D55" s="23"/>
      <c r="E55" s="23"/>
      <c r="F55" s="23"/>
      <c r="G55" s="24"/>
      <c r="H55" s="23">
        <f t="shared" si="3"/>
        <v>66.5</v>
      </c>
    </row>
    <row r="56" spans="1:8" ht="15">
      <c r="A56" s="20" t="s">
        <v>191</v>
      </c>
      <c r="B56" s="22">
        <f t="shared" si="4"/>
        <v>66.5</v>
      </c>
      <c r="C56" s="22"/>
      <c r="D56" s="23"/>
      <c r="E56" s="23"/>
      <c r="F56" s="23"/>
      <c r="G56" s="24"/>
      <c r="H56" s="23">
        <f t="shared" si="3"/>
        <v>66.5</v>
      </c>
    </row>
    <row r="57" spans="1:8" ht="15">
      <c r="A57" s="20" t="s">
        <v>192</v>
      </c>
      <c r="B57" s="22">
        <f t="shared" si="4"/>
        <v>66.5</v>
      </c>
      <c r="C57" s="22"/>
      <c r="D57" s="23"/>
      <c r="E57" s="23"/>
      <c r="F57" s="23"/>
      <c r="G57" s="24"/>
      <c r="H57" s="23">
        <f t="shared" si="3"/>
        <v>66.5</v>
      </c>
    </row>
    <row r="58" spans="1:8" ht="15">
      <c r="A58" s="20" t="s">
        <v>193</v>
      </c>
      <c r="B58" s="22">
        <f t="shared" si="4"/>
        <v>66.5</v>
      </c>
      <c r="C58" s="22"/>
      <c r="D58" s="23"/>
      <c r="E58" s="23"/>
      <c r="F58" s="23"/>
      <c r="G58" s="24"/>
      <c r="H58" s="23">
        <f t="shared" si="3"/>
        <v>66.5</v>
      </c>
    </row>
    <row r="59" spans="1:8" ht="15">
      <c r="A59" s="20" t="s">
        <v>194</v>
      </c>
      <c r="B59" s="22">
        <f t="shared" si="4"/>
        <v>66.5</v>
      </c>
      <c r="C59" s="22"/>
      <c r="D59" s="23"/>
      <c r="E59" s="23"/>
      <c r="F59" s="23"/>
      <c r="G59" s="24"/>
      <c r="H59" s="23">
        <f t="shared" si="3"/>
        <v>66.5</v>
      </c>
    </row>
    <row r="60" spans="1:8" ht="15">
      <c r="A60" s="20" t="s">
        <v>195</v>
      </c>
      <c r="B60" s="22">
        <f t="shared" si="4"/>
        <v>66.5</v>
      </c>
      <c r="C60" s="22"/>
      <c r="D60" s="23"/>
      <c r="E60" s="23"/>
      <c r="F60" s="23"/>
      <c r="G60" s="24"/>
      <c r="H60" s="23">
        <f t="shared" si="3"/>
        <v>66.5</v>
      </c>
    </row>
    <row r="61" spans="1:8" ht="15">
      <c r="A61" s="20" t="s">
        <v>196</v>
      </c>
      <c r="B61" s="22">
        <f t="shared" si="4"/>
        <v>66.5</v>
      </c>
      <c r="C61" s="22"/>
      <c r="D61" s="23"/>
      <c r="E61" s="23"/>
      <c r="F61" s="23"/>
      <c r="G61" s="24"/>
      <c r="H61" s="23">
        <f t="shared" si="3"/>
        <v>66.5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9204-AEE1-45FC-9876-88E56BE56F4F}">
  <dimension ref="A1:F47"/>
  <sheetViews>
    <sheetView topLeftCell="A31" zoomScale="120" zoomScaleNormal="120" workbookViewId="0">
      <selection activeCell="A26" sqref="A26:F46"/>
    </sheetView>
  </sheetViews>
  <sheetFormatPr defaultRowHeight="14.45"/>
  <cols>
    <col min="3" max="3" width="23.85546875" customWidth="1"/>
    <col min="4" max="4" width="12" bestFit="1" customWidth="1"/>
    <col min="5" max="5" width="23.7109375" customWidth="1"/>
    <col min="6" max="6" width="19.7109375" customWidth="1"/>
  </cols>
  <sheetData>
    <row r="1" spans="1:6">
      <c r="A1" t="s">
        <v>197</v>
      </c>
      <c r="B1" t="s">
        <v>198</v>
      </c>
      <c r="C1" t="s">
        <v>199</v>
      </c>
      <c r="D1" s="13" t="s">
        <v>200</v>
      </c>
      <c r="E1" t="s">
        <v>201</v>
      </c>
      <c r="F1" t="s">
        <v>202</v>
      </c>
    </row>
    <row r="2" spans="1:6">
      <c r="A2">
        <v>0</v>
      </c>
      <c r="B2" t="s">
        <v>203</v>
      </c>
      <c r="C2">
        <v>5400</v>
      </c>
      <c r="D2" s="13"/>
    </row>
    <row r="3" spans="1:6">
      <c r="A3">
        <v>1</v>
      </c>
      <c r="B3" s="11" t="s">
        <v>170</v>
      </c>
      <c r="C3">
        <f>C2*(1+EIB_loan_rate)</f>
        <v>5418.9000000000005</v>
      </c>
      <c r="D3" s="13"/>
    </row>
    <row r="4" spans="1:6">
      <c r="A4">
        <v>2</v>
      </c>
      <c r="B4" s="11" t="s">
        <v>79</v>
      </c>
      <c r="C4">
        <f>C3*(1+EIB_loan_rate)</f>
        <v>5437.8661500000007</v>
      </c>
      <c r="D4" s="13"/>
    </row>
    <row r="5" spans="1:6">
      <c r="A5">
        <v>3</v>
      </c>
      <c r="B5" s="11" t="s">
        <v>171</v>
      </c>
      <c r="C5">
        <f>C4*(1+EIB_loan_rate)</f>
        <v>5456.8986815250009</v>
      </c>
      <c r="D5" s="13"/>
    </row>
    <row r="6" spans="1:6">
      <c r="A6">
        <v>4</v>
      </c>
      <c r="B6" s="11" t="s">
        <v>81</v>
      </c>
      <c r="C6">
        <f>C5*(1+EIB_loan_rate)</f>
        <v>5475.9978269103385</v>
      </c>
      <c r="D6" s="13"/>
    </row>
    <row r="7" spans="1:6">
      <c r="A7">
        <v>5</v>
      </c>
      <c r="B7" t="s">
        <v>82</v>
      </c>
      <c r="C7" s="12">
        <f>C6-F7</f>
        <v>5142.6430899434026</v>
      </c>
      <c r="D7" s="14">
        <f>-PMT(EIB_loan_rate,16,$C$6)</f>
        <v>352.52072936112228</v>
      </c>
      <c r="E7">
        <f>C6*EIB_loan_rate</f>
        <v>19.165992394186187</v>
      </c>
      <c r="F7" s="12">
        <f>D7-E7</f>
        <v>333.35473696693612</v>
      </c>
    </row>
    <row r="8" spans="1:6">
      <c r="A8">
        <v>6</v>
      </c>
      <c r="B8" t="s">
        <v>83</v>
      </c>
      <c r="C8" s="12">
        <f t="shared" ref="C8:C22" si="0">C7-F8</f>
        <v>4808.1216113970822</v>
      </c>
      <c r="D8" s="14">
        <f>-PMT(EIB_loan_rate,16,$C$6)</f>
        <v>352.52072936112228</v>
      </c>
      <c r="E8">
        <f>C7*EIB_loan_rate</f>
        <v>17.999250814801911</v>
      </c>
      <c r="F8" s="12">
        <f t="shared" ref="F8:F22" si="1">D8-E8</f>
        <v>334.5214785463204</v>
      </c>
    </row>
    <row r="9" spans="1:6">
      <c r="A9">
        <v>7</v>
      </c>
      <c r="B9" t="s">
        <v>84</v>
      </c>
      <c r="C9" s="12">
        <f t="shared" si="0"/>
        <v>4472.4293076758495</v>
      </c>
      <c r="D9" s="14">
        <f>-PMT(EIB_loan_rate,16,$C$6)</f>
        <v>352.52072936112228</v>
      </c>
      <c r="E9">
        <f>C8*EIB_loan_rate</f>
        <v>16.828425639889787</v>
      </c>
      <c r="F9" s="12">
        <f t="shared" si="1"/>
        <v>335.69230372123252</v>
      </c>
    </row>
    <row r="10" spans="1:6">
      <c r="A10">
        <v>8</v>
      </c>
      <c r="B10" t="s">
        <v>85</v>
      </c>
      <c r="C10" s="12">
        <f t="shared" si="0"/>
        <v>4135.5620808915928</v>
      </c>
      <c r="D10" s="14">
        <f>-PMT(EIB_loan_rate,16,$C$6)</f>
        <v>352.52072936112228</v>
      </c>
      <c r="E10">
        <f>C9*EIB_loan_rate</f>
        <v>15.653502576865474</v>
      </c>
      <c r="F10" s="12">
        <f t="shared" si="1"/>
        <v>336.86722678425679</v>
      </c>
    </row>
    <row r="11" spans="1:6">
      <c r="A11">
        <v>9</v>
      </c>
      <c r="B11" t="s">
        <v>86</v>
      </c>
      <c r="C11" s="12">
        <f t="shared" si="0"/>
        <v>3797.5158188135911</v>
      </c>
      <c r="D11" s="14">
        <f>-PMT(EIB_loan_rate,16,$C$6)</f>
        <v>352.52072936112228</v>
      </c>
      <c r="E11">
        <f>C10*EIB_loan_rate</f>
        <v>14.474467283120575</v>
      </c>
      <c r="F11" s="12">
        <f t="shared" si="1"/>
        <v>338.04626207800169</v>
      </c>
    </row>
    <row r="12" spans="1:6">
      <c r="A12">
        <v>10</v>
      </c>
      <c r="B12" t="s">
        <v>87</v>
      </c>
      <c r="C12" s="12">
        <f t="shared" si="0"/>
        <v>3458.2863948183162</v>
      </c>
      <c r="D12" s="14">
        <f>-PMT(EIB_loan_rate,16,$C$6)</f>
        <v>352.52072936112228</v>
      </c>
      <c r="E12">
        <f>C11*EIB_loan_rate</f>
        <v>13.291305365847569</v>
      </c>
      <c r="F12" s="12">
        <f t="shared" si="1"/>
        <v>339.22942399527471</v>
      </c>
    </row>
    <row r="13" spans="1:6">
      <c r="A13">
        <v>11</v>
      </c>
      <c r="B13" t="s">
        <v>88</v>
      </c>
      <c r="C13" s="12">
        <f t="shared" si="0"/>
        <v>3117.8696678390579</v>
      </c>
      <c r="D13" s="14">
        <f>-PMT(EIB_loan_rate,16,$C$6)</f>
        <v>352.52072936112228</v>
      </c>
      <c r="E13">
        <f>C12*EIB_loan_rate</f>
        <v>12.104002381864108</v>
      </c>
      <c r="F13" s="12">
        <f t="shared" si="1"/>
        <v>340.41672697925816</v>
      </c>
    </row>
    <row r="14" spans="1:6">
      <c r="A14">
        <v>12</v>
      </c>
      <c r="B14" t="s">
        <v>89</v>
      </c>
      <c r="C14" s="12">
        <f t="shared" si="0"/>
        <v>2776.2614823153722</v>
      </c>
      <c r="D14" s="14">
        <f>-PMT(EIB_loan_rate,16,$C$6)</f>
        <v>352.52072936112228</v>
      </c>
      <c r="E14">
        <f>C13*EIB_loan_rate</f>
        <v>10.912543837436703</v>
      </c>
      <c r="F14" s="12">
        <f t="shared" si="1"/>
        <v>341.60818552368556</v>
      </c>
    </row>
    <row r="15" spans="1:6">
      <c r="A15">
        <v>13</v>
      </c>
      <c r="B15" t="s">
        <v>90</v>
      </c>
      <c r="C15" s="12">
        <f t="shared" si="0"/>
        <v>2433.4576681423537</v>
      </c>
      <c r="D15" s="14">
        <f>-PMT(EIB_loan_rate,16,$C$6)</f>
        <v>352.52072936112228</v>
      </c>
      <c r="E15">
        <f>C14*EIB_loan_rate</f>
        <v>9.7169151881038029</v>
      </c>
      <c r="F15" s="12">
        <f t="shared" si="1"/>
        <v>342.80381417301845</v>
      </c>
    </row>
    <row r="16" spans="1:6">
      <c r="A16">
        <v>14</v>
      </c>
      <c r="B16" t="s">
        <v>91</v>
      </c>
      <c r="C16" s="12">
        <f t="shared" si="0"/>
        <v>2089.4540406197298</v>
      </c>
      <c r="D16" s="14">
        <f>-PMT(EIB_loan_rate,16,$C$6)</f>
        <v>352.52072936112228</v>
      </c>
      <c r="E16">
        <f>C15*EIB_loan_rate</f>
        <v>8.5171018384982382</v>
      </c>
      <c r="F16" s="12">
        <f t="shared" si="1"/>
        <v>344.00362752262402</v>
      </c>
    </row>
    <row r="17" spans="1:6">
      <c r="A17">
        <v>15</v>
      </c>
      <c r="B17" t="s">
        <v>92</v>
      </c>
      <c r="C17" s="12">
        <f t="shared" si="0"/>
        <v>1744.2464004007766</v>
      </c>
      <c r="D17" s="14">
        <f>-PMT(EIB_loan_rate,16,$C$6)</f>
        <v>352.52072936112228</v>
      </c>
      <c r="E17">
        <f>C16*EIB_loan_rate</f>
        <v>7.313089142169054</v>
      </c>
      <c r="F17" s="12">
        <f t="shared" si="1"/>
        <v>345.2076402189532</v>
      </c>
    </row>
    <row r="18" spans="1:6">
      <c r="A18">
        <v>16</v>
      </c>
      <c r="B18" t="s">
        <v>93</v>
      </c>
      <c r="C18" s="12">
        <f t="shared" si="0"/>
        <v>1397.830533441057</v>
      </c>
      <c r="D18" s="14">
        <f>-PMT(EIB_loan_rate,16,$C$6)</f>
        <v>352.52072936112228</v>
      </c>
      <c r="E18">
        <f>C17*EIB_loan_rate</f>
        <v>6.104862401402718</v>
      </c>
      <c r="F18" s="12">
        <f t="shared" si="1"/>
        <v>346.41586695971955</v>
      </c>
    </row>
    <row r="19" spans="1:6">
      <c r="A19">
        <v>17</v>
      </c>
      <c r="B19" t="s">
        <v>94</v>
      </c>
      <c r="C19" s="12">
        <f t="shared" si="0"/>
        <v>1050.2022109469785</v>
      </c>
      <c r="D19" s="14">
        <f>-PMT(EIB_loan_rate,16,$C$6)</f>
        <v>352.52072936112228</v>
      </c>
      <c r="E19">
        <f>C18*EIB_loan_rate</f>
        <v>4.8924068670436993</v>
      </c>
      <c r="F19" s="12">
        <f t="shared" si="1"/>
        <v>347.62832249407859</v>
      </c>
    </row>
    <row r="20" spans="1:6">
      <c r="A20">
        <v>18</v>
      </c>
      <c r="B20" t="s">
        <v>95</v>
      </c>
      <c r="C20" s="12">
        <f t="shared" si="0"/>
        <v>701.35718932417069</v>
      </c>
      <c r="D20" s="14">
        <f>-PMT(EIB_loan_rate,16,$C$6)</f>
        <v>352.52072936112228</v>
      </c>
      <c r="E20">
        <f>C19*EIB_loan_rate</f>
        <v>3.6757077383144248</v>
      </c>
      <c r="F20" s="12">
        <f t="shared" si="1"/>
        <v>348.84502162280785</v>
      </c>
    </row>
    <row r="21" spans="1:6">
      <c r="A21">
        <v>19</v>
      </c>
      <c r="B21" t="s">
        <v>96</v>
      </c>
      <c r="C21" s="12">
        <f t="shared" si="0"/>
        <v>351.29121012568299</v>
      </c>
      <c r="D21" s="14">
        <f>-PMT(EIB_loan_rate,16,$C$6)</f>
        <v>352.52072936112228</v>
      </c>
      <c r="E21">
        <f>C20*EIB_loan_rate</f>
        <v>2.4547501626345976</v>
      </c>
      <c r="F21" s="12">
        <f t="shared" si="1"/>
        <v>350.0659791984877</v>
      </c>
    </row>
    <row r="22" spans="1:6">
      <c r="A22">
        <v>20</v>
      </c>
      <c r="B22" t="s">
        <v>97</v>
      </c>
      <c r="C22" s="12">
        <f t="shared" si="0"/>
        <v>6.2527760746888816E-13</v>
      </c>
      <c r="D22" s="14">
        <f>-PMT(EIB_loan_rate,16,$C$6)</f>
        <v>352.52072936112228</v>
      </c>
      <c r="E22">
        <f>C21*EIB_loan_rate</f>
        <v>1.2295192354398905</v>
      </c>
      <c r="F22" s="12">
        <f t="shared" si="1"/>
        <v>351.29121012568237</v>
      </c>
    </row>
    <row r="23" spans="1:6">
      <c r="A23" s="47" t="s">
        <v>204</v>
      </c>
      <c r="B23" s="48"/>
      <c r="C23" s="48"/>
      <c r="D23" s="48"/>
      <c r="E23" s="48"/>
      <c r="F23" s="48"/>
    </row>
    <row r="24" spans="1:6">
      <c r="A24" s="48"/>
      <c r="B24" s="48"/>
      <c r="C24" s="48"/>
      <c r="D24" s="48"/>
      <c r="E24" s="48"/>
      <c r="F24" s="48"/>
    </row>
    <row r="25" spans="1:6" ht="29.25">
      <c r="A25" s="26" t="s">
        <v>197</v>
      </c>
      <c r="B25" s="26" t="s">
        <v>198</v>
      </c>
      <c r="C25" s="26" t="s">
        <v>199</v>
      </c>
      <c r="D25" s="26" t="s">
        <v>205</v>
      </c>
      <c r="E25" s="26" t="s">
        <v>206</v>
      </c>
      <c r="F25" s="26" t="s">
        <v>207</v>
      </c>
    </row>
    <row r="26" spans="1:6" ht="14.45" customHeight="1">
      <c r="A26" s="20">
        <v>0</v>
      </c>
      <c r="B26" s="22" t="s">
        <v>203</v>
      </c>
      <c r="C26" s="22">
        <v>5400</v>
      </c>
      <c r="D26" s="23"/>
      <c r="E26" s="23" t="s">
        <v>208</v>
      </c>
      <c r="F26" s="23"/>
    </row>
    <row r="27" spans="1:6" ht="14.45" customHeight="1">
      <c r="A27" s="20">
        <v>1</v>
      </c>
      <c r="B27" s="22" t="s">
        <v>170</v>
      </c>
      <c r="C27" s="22">
        <f>C26*(1+EIB_loan_rate)</f>
        <v>5418.9000000000005</v>
      </c>
      <c r="D27" s="23"/>
      <c r="E27" s="23"/>
      <c r="F27" s="23"/>
    </row>
    <row r="28" spans="1:6" ht="14.45" customHeight="1">
      <c r="A28" s="20">
        <v>2</v>
      </c>
      <c r="B28" s="22" t="s">
        <v>79</v>
      </c>
      <c r="C28" s="22">
        <f>C27*(1+EIB_loan_rate)</f>
        <v>5437.8661500000007</v>
      </c>
      <c r="D28" s="23"/>
      <c r="E28" s="23"/>
      <c r="F28" s="23"/>
    </row>
    <row r="29" spans="1:6" ht="96" customHeight="1">
      <c r="A29" s="20">
        <v>3</v>
      </c>
      <c r="B29" s="22" t="s">
        <v>171</v>
      </c>
      <c r="C29" s="22">
        <f>C28*(1+EIB_loan_rate)</f>
        <v>5456.8986815250009</v>
      </c>
      <c r="D29" s="23"/>
      <c r="E29" s="23"/>
      <c r="F29" s="23"/>
    </row>
    <row r="30" spans="1:6" ht="14.45" customHeight="1">
      <c r="A30" s="20">
        <v>4</v>
      </c>
      <c r="B30" s="22" t="s">
        <v>81</v>
      </c>
      <c r="C30" s="22">
        <f>C29*(1+EIB_loan_rate)</f>
        <v>5475.9978269103385</v>
      </c>
      <c r="D30" s="23"/>
      <c r="E30" s="23"/>
      <c r="F30" s="23"/>
    </row>
    <row r="31" spans="1:6" ht="14.45" customHeight="1">
      <c r="A31" s="20">
        <v>5</v>
      </c>
      <c r="B31" s="22" t="s">
        <v>82</v>
      </c>
      <c r="C31" s="22">
        <f>C30-D31</f>
        <v>5133.747962728442</v>
      </c>
      <c r="D31" s="23">
        <f>$C$30/16</f>
        <v>342.24986418189616</v>
      </c>
      <c r="E31" s="23">
        <f>C30*EIB_loan_rate</f>
        <v>19.165992394186187</v>
      </c>
      <c r="F31" s="23">
        <f>D31+E31</f>
        <v>361.41585657608232</v>
      </c>
    </row>
    <row r="32" spans="1:6" ht="14.45" customHeight="1">
      <c r="A32" s="20">
        <v>6</v>
      </c>
      <c r="B32" s="22" t="s">
        <v>83</v>
      </c>
      <c r="C32" s="22">
        <f t="shared" ref="C32:C46" si="2">C31-D32</f>
        <v>4791.4980985465454</v>
      </c>
      <c r="D32" s="23">
        <f t="shared" ref="D32:D46" si="3">$C$30/16</f>
        <v>342.24986418189616</v>
      </c>
      <c r="E32" s="23">
        <f>C31*EIB_loan_rate</f>
        <v>17.968117869549548</v>
      </c>
      <c r="F32" s="23">
        <f t="shared" ref="F32:F46" si="4">D32+E32</f>
        <v>360.21798205144569</v>
      </c>
    </row>
    <row r="33" spans="1:6" ht="14.45" customHeight="1">
      <c r="A33" s="20">
        <v>7</v>
      </c>
      <c r="B33" s="22" t="s">
        <v>84</v>
      </c>
      <c r="C33" s="22">
        <f t="shared" si="2"/>
        <v>4449.2482343646489</v>
      </c>
      <c r="D33" s="23">
        <f t="shared" si="3"/>
        <v>342.24986418189616</v>
      </c>
      <c r="E33" s="23">
        <f>C32*EIB_loan_rate</f>
        <v>16.77024334491291</v>
      </c>
      <c r="F33" s="23">
        <f t="shared" si="4"/>
        <v>359.02010752680906</v>
      </c>
    </row>
    <row r="34" spans="1:6" ht="14.45" customHeight="1">
      <c r="A34" s="20">
        <v>8</v>
      </c>
      <c r="B34" s="22" t="s">
        <v>85</v>
      </c>
      <c r="C34" s="22">
        <f t="shared" si="2"/>
        <v>4106.9983701827523</v>
      </c>
      <c r="D34" s="23">
        <f t="shared" si="3"/>
        <v>342.24986418189616</v>
      </c>
      <c r="E34" s="23">
        <f>C33*EIB_loan_rate</f>
        <v>15.572368820276271</v>
      </c>
      <c r="F34" s="23">
        <f t="shared" si="4"/>
        <v>357.82223300217242</v>
      </c>
    </row>
    <row r="35" spans="1:6" ht="14.45" customHeight="1">
      <c r="A35" s="20">
        <v>9</v>
      </c>
      <c r="B35" s="22" t="s">
        <v>86</v>
      </c>
      <c r="C35" s="22">
        <f t="shared" si="2"/>
        <v>3764.7485060008562</v>
      </c>
      <c r="D35" s="23">
        <f t="shared" si="3"/>
        <v>342.24986418189616</v>
      </c>
      <c r="E35" s="23">
        <f>C34*EIB_loan_rate</f>
        <v>14.374494295639634</v>
      </c>
      <c r="F35" s="23">
        <f t="shared" si="4"/>
        <v>356.62435847753579</v>
      </c>
    </row>
    <row r="36" spans="1:6" ht="14.45" customHeight="1">
      <c r="A36" s="20">
        <v>10</v>
      </c>
      <c r="B36" s="22" t="s">
        <v>87</v>
      </c>
      <c r="C36" s="22">
        <f t="shared" si="2"/>
        <v>3422.4986418189601</v>
      </c>
      <c r="D36" s="23">
        <f t="shared" si="3"/>
        <v>342.24986418189616</v>
      </c>
      <c r="E36" s="23">
        <f>C35*EIB_loan_rate</f>
        <v>13.176619771002997</v>
      </c>
      <c r="F36" s="23">
        <f t="shared" si="4"/>
        <v>355.42648395289916</v>
      </c>
    </row>
    <row r="37" spans="1:6" ht="14.45" customHeight="1">
      <c r="A37" s="20">
        <v>11</v>
      </c>
      <c r="B37" s="22" t="s">
        <v>88</v>
      </c>
      <c r="C37" s="22">
        <f t="shared" si="2"/>
        <v>3080.248777637064</v>
      </c>
      <c r="D37" s="23">
        <f t="shared" si="3"/>
        <v>342.24986418189616</v>
      </c>
      <c r="E37" s="23">
        <f>C36*EIB_loan_rate</f>
        <v>11.97874524636636</v>
      </c>
      <c r="F37" s="23">
        <f t="shared" si="4"/>
        <v>354.22860942826253</v>
      </c>
    </row>
    <row r="38" spans="1:6" ht="14.45" customHeight="1">
      <c r="A38" s="20">
        <v>12</v>
      </c>
      <c r="B38" s="22" t="s">
        <v>89</v>
      </c>
      <c r="C38" s="22">
        <f t="shared" si="2"/>
        <v>2737.9989134551679</v>
      </c>
      <c r="D38" s="23">
        <f t="shared" si="3"/>
        <v>342.24986418189616</v>
      </c>
      <c r="E38" s="23">
        <f>C37*EIB_loan_rate</f>
        <v>10.780870721729725</v>
      </c>
      <c r="F38" s="23">
        <f t="shared" si="4"/>
        <v>353.0307349036259</v>
      </c>
    </row>
    <row r="39" spans="1:6" ht="14.45" customHeight="1">
      <c r="A39" s="20">
        <v>13</v>
      </c>
      <c r="B39" s="22" t="s">
        <v>90</v>
      </c>
      <c r="C39" s="22">
        <f t="shared" si="2"/>
        <v>2395.7490492732718</v>
      </c>
      <c r="D39" s="23">
        <f t="shared" si="3"/>
        <v>342.24986418189616</v>
      </c>
      <c r="E39" s="23">
        <f>C38*EIB_loan_rate</f>
        <v>9.5829961970930881</v>
      </c>
      <c r="F39" s="23">
        <f t="shared" si="4"/>
        <v>351.83286037898927</v>
      </c>
    </row>
    <row r="40" spans="1:6" ht="14.45" customHeight="1">
      <c r="A40" s="20">
        <v>14</v>
      </c>
      <c r="B40" s="22" t="s">
        <v>91</v>
      </c>
      <c r="C40" s="22">
        <f t="shared" si="2"/>
        <v>2053.4991850913757</v>
      </c>
      <c r="D40" s="23">
        <f t="shared" si="3"/>
        <v>342.24986418189616</v>
      </c>
      <c r="E40" s="23">
        <f>C39*EIB_loan_rate</f>
        <v>8.3851216724564512</v>
      </c>
      <c r="F40" s="23">
        <f t="shared" si="4"/>
        <v>350.63498585435264</v>
      </c>
    </row>
    <row r="41" spans="1:6" ht="14.45" customHeight="1">
      <c r="A41" s="20">
        <v>15</v>
      </c>
      <c r="B41" s="22" t="s">
        <v>92</v>
      </c>
      <c r="C41" s="22">
        <f t="shared" si="2"/>
        <v>1711.2493209094796</v>
      </c>
      <c r="D41" s="23">
        <f t="shared" si="3"/>
        <v>342.24986418189616</v>
      </c>
      <c r="E41" s="23">
        <f>C40*EIB_loan_rate</f>
        <v>7.1872471478198152</v>
      </c>
      <c r="F41" s="23">
        <f t="shared" si="4"/>
        <v>349.43711132971595</v>
      </c>
    </row>
    <row r="42" spans="1:6" ht="14.45" customHeight="1">
      <c r="A42" s="20">
        <v>16</v>
      </c>
      <c r="B42" s="22" t="s">
        <v>93</v>
      </c>
      <c r="C42" s="22">
        <f t="shared" si="2"/>
        <v>1368.9994567275835</v>
      </c>
      <c r="D42" s="23">
        <f t="shared" si="3"/>
        <v>342.24986418189616</v>
      </c>
      <c r="E42" s="23">
        <f>C41*EIB_loan_rate</f>
        <v>5.9893726231831783</v>
      </c>
      <c r="F42" s="23">
        <f t="shared" si="4"/>
        <v>348.23923680507932</v>
      </c>
    </row>
    <row r="43" spans="1:6" ht="14.45" customHeight="1">
      <c r="A43" s="20">
        <v>17</v>
      </c>
      <c r="B43" s="22" t="s">
        <v>94</v>
      </c>
      <c r="C43" s="22">
        <f t="shared" si="2"/>
        <v>1026.7495925456874</v>
      </c>
      <c r="D43" s="23">
        <f t="shared" si="3"/>
        <v>342.24986418189616</v>
      </c>
      <c r="E43" s="23">
        <f>C42*EIB_loan_rate</f>
        <v>4.7914980985465423</v>
      </c>
      <c r="F43" s="23">
        <f t="shared" si="4"/>
        <v>347.04136228044268</v>
      </c>
    </row>
    <row r="44" spans="1:6" ht="14.45" customHeight="1">
      <c r="A44" s="20">
        <v>18</v>
      </c>
      <c r="B44" s="22" t="s">
        <v>95</v>
      </c>
      <c r="C44" s="22">
        <f t="shared" si="2"/>
        <v>684.49972836379129</v>
      </c>
      <c r="D44" s="23">
        <f t="shared" si="3"/>
        <v>342.24986418189616</v>
      </c>
      <c r="E44" s="23">
        <f>C43*EIB_loan_rate</f>
        <v>3.5936235739099058</v>
      </c>
      <c r="F44" s="23">
        <f t="shared" si="4"/>
        <v>345.84348775580605</v>
      </c>
    </row>
    <row r="45" spans="1:6" ht="14.45" customHeight="1">
      <c r="A45" s="20">
        <v>19</v>
      </c>
      <c r="B45" s="22" t="s">
        <v>96</v>
      </c>
      <c r="C45" s="22">
        <f t="shared" si="2"/>
        <v>342.24986418189513</v>
      </c>
      <c r="D45" s="23">
        <f t="shared" si="3"/>
        <v>342.24986418189616</v>
      </c>
      <c r="E45" s="23">
        <f>C44*EIB_loan_rate</f>
        <v>2.3957490492732694</v>
      </c>
      <c r="F45" s="23">
        <f t="shared" si="4"/>
        <v>344.64561323116942</v>
      </c>
    </row>
    <row r="46" spans="1:6" ht="14.45" customHeight="1">
      <c r="A46" s="20">
        <v>20</v>
      </c>
      <c r="B46" s="22" t="s">
        <v>97</v>
      </c>
      <c r="C46" s="22">
        <f t="shared" si="2"/>
        <v>-1.0231815394945443E-12</v>
      </c>
      <c r="D46" s="23">
        <f t="shared" si="3"/>
        <v>342.24986418189616</v>
      </c>
      <c r="E46" s="23">
        <f>C45*EIB_loan_rate</f>
        <v>1.1978745246366329</v>
      </c>
      <c r="F46" s="23">
        <f t="shared" si="4"/>
        <v>343.44773870653279</v>
      </c>
    </row>
    <row r="47" spans="1:6" ht="15"/>
  </sheetData>
  <mergeCells count="1">
    <mergeCell ref="A23:F24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8428A-208A-4180-A31A-023C166D9DF6}">
  <dimension ref="A1:F23"/>
  <sheetViews>
    <sheetView zoomScale="130" zoomScaleNormal="130" workbookViewId="0">
      <selection activeCell="I13" sqref="I13"/>
    </sheetView>
  </sheetViews>
  <sheetFormatPr defaultRowHeight="14.45"/>
  <cols>
    <col min="3" max="3" width="22.85546875" bestFit="1" customWidth="1"/>
    <col min="4" max="4" width="15.140625" customWidth="1"/>
    <col min="5" max="5" width="12.5703125" customWidth="1"/>
    <col min="6" max="6" width="24.7109375" customWidth="1"/>
  </cols>
  <sheetData>
    <row r="1" spans="1:6" ht="29.25">
      <c r="A1" s="26" t="s">
        <v>197</v>
      </c>
      <c r="B1" s="26" t="s">
        <v>198</v>
      </c>
      <c r="C1" s="26" t="s">
        <v>199</v>
      </c>
      <c r="D1" s="26" t="s">
        <v>205</v>
      </c>
      <c r="E1" s="26" t="s">
        <v>206</v>
      </c>
      <c r="F1" s="26" t="s">
        <v>207</v>
      </c>
    </row>
    <row r="2" spans="1:6" ht="14.45" customHeight="1">
      <c r="A2" s="20">
        <v>0</v>
      </c>
      <c r="B2" s="22" t="s">
        <v>203</v>
      </c>
      <c r="C2" s="22">
        <v>1690.79</v>
      </c>
      <c r="D2" s="23"/>
      <c r="E2" s="23" t="s">
        <v>208</v>
      </c>
      <c r="F2" s="23"/>
    </row>
    <row r="3" spans="1:6" ht="14.45" customHeight="1">
      <c r="A3" s="20">
        <v>1</v>
      </c>
      <c r="B3" s="22" t="s">
        <v>170</v>
      </c>
      <c r="C3" s="22">
        <f>C2*(1+AFD_loan_rate)</f>
        <v>1697.6546073999998</v>
      </c>
      <c r="D3" s="23"/>
      <c r="E3" s="23"/>
      <c r="F3" s="23"/>
    </row>
    <row r="4" spans="1:6" ht="14.45" customHeight="1">
      <c r="A4" s="20">
        <v>2</v>
      </c>
      <c r="B4" s="22" t="s">
        <v>79</v>
      </c>
      <c r="C4" s="22">
        <f>C3*(1+AFD_loan_rate)</f>
        <v>1704.5470851060438</v>
      </c>
      <c r="D4" s="23"/>
      <c r="E4" s="23"/>
      <c r="F4" s="23"/>
    </row>
    <row r="5" spans="1:6" ht="85.9" customHeight="1">
      <c r="A5" s="20">
        <v>3</v>
      </c>
      <c r="B5" s="22" t="s">
        <v>171</v>
      </c>
      <c r="C5" s="22">
        <f>C4*(1+AFD_loan_rate)</f>
        <v>1711.4675462715743</v>
      </c>
      <c r="D5" s="23"/>
      <c r="E5" s="23"/>
      <c r="F5" s="23"/>
    </row>
    <row r="6" spans="1:6" ht="14.45" customHeight="1">
      <c r="A6" s="20">
        <v>4</v>
      </c>
      <c r="B6" s="22" t="s">
        <v>81</v>
      </c>
      <c r="C6" s="22">
        <f>C5*(1+AFD_loan_rate)</f>
        <v>1718.4161045094368</v>
      </c>
      <c r="D6" s="23"/>
      <c r="E6" s="23"/>
      <c r="F6" s="23"/>
    </row>
    <row r="7" spans="1:6" ht="14.45" customHeight="1">
      <c r="A7" s="20">
        <v>5</v>
      </c>
      <c r="B7" s="22" t="s">
        <v>82</v>
      </c>
      <c r="C7" s="22">
        <f>C6-D7</f>
        <v>1611.015097977597</v>
      </c>
      <c r="D7" s="23">
        <f>$C$6/16</f>
        <v>107.4010065318398</v>
      </c>
      <c r="E7" s="23">
        <f>C6*AFD_loan_rate</f>
        <v>6.9767693843083141</v>
      </c>
      <c r="F7" s="23">
        <f>D7+E7</f>
        <v>114.37777591614811</v>
      </c>
    </row>
    <row r="8" spans="1:6" ht="14.45" customHeight="1">
      <c r="A8" s="20">
        <v>6</v>
      </c>
      <c r="B8" s="22" t="s">
        <v>83</v>
      </c>
      <c r="C8" s="22">
        <f t="shared" ref="C8:C22" si="0">C7-D8</f>
        <v>1503.6140914457571</v>
      </c>
      <c r="D8" s="23">
        <f t="shared" ref="D8:D22" si="1">$C$6/16</f>
        <v>107.4010065318398</v>
      </c>
      <c r="E8" s="23">
        <f>C7*AFD_loan_rate</f>
        <v>6.5407212977890437</v>
      </c>
      <c r="F8" s="23">
        <f t="shared" ref="F8:F22" si="2">D8+E8</f>
        <v>113.94172782962885</v>
      </c>
    </row>
    <row r="9" spans="1:6" ht="14.45" customHeight="1">
      <c r="A9" s="20">
        <v>7</v>
      </c>
      <c r="B9" s="22" t="s">
        <v>84</v>
      </c>
      <c r="C9" s="22">
        <f t="shared" si="0"/>
        <v>1396.2130849139173</v>
      </c>
      <c r="D9" s="23">
        <f t="shared" si="1"/>
        <v>107.4010065318398</v>
      </c>
      <c r="E9" s="23">
        <f>C8*AFD_loan_rate</f>
        <v>6.1046732112697741</v>
      </c>
      <c r="F9" s="23">
        <f t="shared" si="2"/>
        <v>113.50567974310957</v>
      </c>
    </row>
    <row r="10" spans="1:6" ht="14.45" customHeight="1">
      <c r="A10" s="20">
        <v>8</v>
      </c>
      <c r="B10" s="22" t="s">
        <v>85</v>
      </c>
      <c r="C10" s="22">
        <f t="shared" si="0"/>
        <v>1288.8120783820775</v>
      </c>
      <c r="D10" s="23">
        <f t="shared" si="1"/>
        <v>107.4010065318398</v>
      </c>
      <c r="E10" s="23">
        <f>C9*AFD_loan_rate</f>
        <v>5.6686251247505046</v>
      </c>
      <c r="F10" s="23">
        <f t="shared" si="2"/>
        <v>113.0696316565903</v>
      </c>
    </row>
    <row r="11" spans="1:6" ht="14.45" customHeight="1">
      <c r="A11" s="20">
        <v>9</v>
      </c>
      <c r="B11" s="22" t="s">
        <v>86</v>
      </c>
      <c r="C11" s="22">
        <f t="shared" si="0"/>
        <v>1181.4110718502377</v>
      </c>
      <c r="D11" s="23">
        <f t="shared" si="1"/>
        <v>107.4010065318398</v>
      </c>
      <c r="E11" s="23">
        <f>C10*AFD_loan_rate</f>
        <v>5.2325770382312351</v>
      </c>
      <c r="F11" s="23">
        <f t="shared" si="2"/>
        <v>112.63358357007104</v>
      </c>
    </row>
    <row r="12" spans="1:6" ht="14.45" customHeight="1">
      <c r="A12" s="20">
        <v>10</v>
      </c>
      <c r="B12" s="22" t="s">
        <v>87</v>
      </c>
      <c r="C12" s="22">
        <f t="shared" si="0"/>
        <v>1074.0100653183979</v>
      </c>
      <c r="D12" s="23">
        <f t="shared" si="1"/>
        <v>107.4010065318398</v>
      </c>
      <c r="E12" s="23">
        <f>C11*AFD_loan_rate</f>
        <v>4.7965289517119656</v>
      </c>
      <c r="F12" s="23">
        <f t="shared" si="2"/>
        <v>112.19753548355176</v>
      </c>
    </row>
    <row r="13" spans="1:6" ht="14.45" customHeight="1">
      <c r="A13" s="20">
        <v>11</v>
      </c>
      <c r="B13" s="22" t="s">
        <v>88</v>
      </c>
      <c r="C13" s="22">
        <f t="shared" si="0"/>
        <v>966.60905878655808</v>
      </c>
      <c r="D13" s="23">
        <f t="shared" si="1"/>
        <v>107.4010065318398</v>
      </c>
      <c r="E13" s="23">
        <f>C12*AFD_loan_rate</f>
        <v>4.3604808651926961</v>
      </c>
      <c r="F13" s="23">
        <f t="shared" si="2"/>
        <v>111.7614873970325</v>
      </c>
    </row>
    <row r="14" spans="1:6" ht="14.45" customHeight="1">
      <c r="A14" s="20">
        <v>12</v>
      </c>
      <c r="B14" s="22" t="s">
        <v>89</v>
      </c>
      <c r="C14" s="22">
        <f t="shared" si="0"/>
        <v>859.20805225471827</v>
      </c>
      <c r="D14" s="23">
        <f t="shared" si="1"/>
        <v>107.4010065318398</v>
      </c>
      <c r="E14" s="23">
        <f>C13*AFD_loan_rate</f>
        <v>3.9244327786734261</v>
      </c>
      <c r="F14" s="23">
        <f t="shared" si="2"/>
        <v>111.32543931051322</v>
      </c>
    </row>
    <row r="15" spans="1:6" ht="14.45" customHeight="1">
      <c r="A15" s="20">
        <v>13</v>
      </c>
      <c r="B15" s="22" t="s">
        <v>90</v>
      </c>
      <c r="C15" s="22">
        <f t="shared" si="0"/>
        <v>751.80704572287846</v>
      </c>
      <c r="D15" s="23">
        <f t="shared" si="1"/>
        <v>107.4010065318398</v>
      </c>
      <c r="E15" s="23">
        <f>C14*AFD_loan_rate</f>
        <v>3.4883846921541566</v>
      </c>
      <c r="F15" s="23">
        <f t="shared" si="2"/>
        <v>110.88939122399395</v>
      </c>
    </row>
    <row r="16" spans="1:6" ht="14.45" customHeight="1">
      <c r="A16" s="20">
        <v>14</v>
      </c>
      <c r="B16" s="22" t="s">
        <v>91</v>
      </c>
      <c r="C16" s="22">
        <f t="shared" si="0"/>
        <v>644.40603919103864</v>
      </c>
      <c r="D16" s="23">
        <f t="shared" si="1"/>
        <v>107.4010065318398</v>
      </c>
      <c r="E16" s="23">
        <f>C15*AFD_loan_rate</f>
        <v>3.0523366056348866</v>
      </c>
      <c r="F16" s="23">
        <f t="shared" si="2"/>
        <v>110.45334313747469</v>
      </c>
    </row>
    <row r="17" spans="1:6" ht="14.45" customHeight="1">
      <c r="A17" s="20">
        <v>15</v>
      </c>
      <c r="B17" s="22" t="s">
        <v>92</v>
      </c>
      <c r="C17" s="22">
        <f t="shared" si="0"/>
        <v>537.00503265919883</v>
      </c>
      <c r="D17" s="23">
        <f t="shared" si="1"/>
        <v>107.4010065318398</v>
      </c>
      <c r="E17" s="23">
        <f>C16*AFD_loan_rate</f>
        <v>2.6162885191156171</v>
      </c>
      <c r="F17" s="23">
        <f t="shared" si="2"/>
        <v>110.01729505095541</v>
      </c>
    </row>
    <row r="18" spans="1:6" ht="14.45" customHeight="1">
      <c r="A18" s="20">
        <v>16</v>
      </c>
      <c r="B18" s="22" t="s">
        <v>93</v>
      </c>
      <c r="C18" s="22">
        <f t="shared" si="0"/>
        <v>429.60402612735902</v>
      </c>
      <c r="D18" s="23">
        <f t="shared" si="1"/>
        <v>107.4010065318398</v>
      </c>
      <c r="E18" s="23">
        <f>C17*AFD_loan_rate</f>
        <v>2.1802404325963476</v>
      </c>
      <c r="F18" s="23">
        <f t="shared" si="2"/>
        <v>109.58124696443615</v>
      </c>
    </row>
    <row r="19" spans="1:6" ht="14.45" customHeight="1">
      <c r="A19" s="20">
        <v>17</v>
      </c>
      <c r="B19" s="22" t="s">
        <v>94</v>
      </c>
      <c r="C19" s="22">
        <f t="shared" si="0"/>
        <v>322.20301959551921</v>
      </c>
      <c r="D19" s="23">
        <f t="shared" si="1"/>
        <v>107.4010065318398</v>
      </c>
      <c r="E19" s="23">
        <f>C18*AFD_loan_rate</f>
        <v>1.7441923460770776</v>
      </c>
      <c r="F19" s="23">
        <f t="shared" si="2"/>
        <v>109.14519887791687</v>
      </c>
    </row>
    <row r="20" spans="1:6" ht="14.45" customHeight="1">
      <c r="A20" s="20">
        <v>18</v>
      </c>
      <c r="B20" s="22" t="s">
        <v>95</v>
      </c>
      <c r="C20" s="22">
        <f t="shared" si="0"/>
        <v>214.8020130636794</v>
      </c>
      <c r="D20" s="23">
        <f t="shared" si="1"/>
        <v>107.4010065318398</v>
      </c>
      <c r="E20" s="23">
        <f>C19*AFD_loan_rate</f>
        <v>1.3081442595578081</v>
      </c>
      <c r="F20" s="23">
        <f t="shared" si="2"/>
        <v>108.7091507913976</v>
      </c>
    </row>
    <row r="21" spans="1:6" ht="14.45" customHeight="1">
      <c r="A21" s="20">
        <v>19</v>
      </c>
      <c r="B21" s="22" t="s">
        <v>96</v>
      </c>
      <c r="C21" s="22">
        <f t="shared" si="0"/>
        <v>107.4010065318396</v>
      </c>
      <c r="D21" s="23">
        <f t="shared" si="1"/>
        <v>107.4010065318398</v>
      </c>
      <c r="E21" s="23">
        <f>C20*AFD_loan_rate</f>
        <v>0.87209617303853837</v>
      </c>
      <c r="F21" s="23">
        <f t="shared" si="2"/>
        <v>108.27310270487834</v>
      </c>
    </row>
    <row r="22" spans="1:6" ht="14.45" customHeight="1">
      <c r="A22" s="20">
        <v>20</v>
      </c>
      <c r="B22" s="22" t="s">
        <v>97</v>
      </c>
      <c r="C22" s="22">
        <f t="shared" si="0"/>
        <v>-1.9895196601282805E-13</v>
      </c>
      <c r="D22" s="23">
        <f t="shared" si="1"/>
        <v>107.4010065318398</v>
      </c>
      <c r="E22" s="23">
        <f>C21*AFD_loan_rate</f>
        <v>0.4360480865192688</v>
      </c>
      <c r="F22" s="23">
        <f t="shared" si="2"/>
        <v>107.83705461835906</v>
      </c>
    </row>
    <row r="23" spans="1:6" ht="1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F012F-7105-4206-8834-822EC514F8F1}">
  <dimension ref="A1:F42"/>
  <sheetViews>
    <sheetView topLeftCell="A26" zoomScale="190" zoomScaleNormal="190" workbookViewId="0">
      <selection activeCell="A2" sqref="A2:F42"/>
    </sheetView>
  </sheetViews>
  <sheetFormatPr defaultRowHeight="14.45"/>
  <cols>
    <col min="3" max="3" width="15.28515625" customWidth="1"/>
    <col min="4" max="4" width="16.42578125" customWidth="1"/>
    <col min="5" max="5" width="25.5703125" bestFit="1" customWidth="1"/>
  </cols>
  <sheetData>
    <row r="1" spans="1:6" ht="15">
      <c r="A1" s="21"/>
      <c r="B1" s="21" t="s">
        <v>33</v>
      </c>
      <c r="C1" s="21" t="str" cm="1">
        <f t="array" ref="C1:C42">Profit_after_Tax</f>
        <v>Profit_after_Tax</v>
      </c>
      <c r="D1" s="21" t="s">
        <v>209</v>
      </c>
      <c r="E1" s="21" t="s">
        <v>210</v>
      </c>
      <c r="F1" s="21"/>
    </row>
    <row r="2" spans="1:6" ht="15">
      <c r="A2" s="20">
        <v>2016</v>
      </c>
      <c r="B2" s="22">
        <v>-5</v>
      </c>
      <c r="C2" s="22">
        <v>0</v>
      </c>
      <c r="D2" s="23">
        <f>IF(B2&gt;20,Subordinate_debt_rate*C2,0)</f>
        <v>0</v>
      </c>
      <c r="E2" s="23">
        <f>C2*Subordinate_debt_rate</f>
        <v>0</v>
      </c>
      <c r="F2" s="23">
        <v>708</v>
      </c>
    </row>
    <row r="3" spans="1:6" ht="15">
      <c r="A3" s="20">
        <v>2017</v>
      </c>
      <c r="B3" s="22">
        <v>-4</v>
      </c>
      <c r="C3" s="22">
        <v>0</v>
      </c>
      <c r="D3" s="23">
        <f>IF(B3&gt;20,Subordinate_debt_rate*C3,0)</f>
        <v>0</v>
      </c>
      <c r="E3" s="23">
        <f>(C3*Subordinate_debt_rate)+E2</f>
        <v>0</v>
      </c>
      <c r="F3" s="23">
        <f>$F$2-E3</f>
        <v>708</v>
      </c>
    </row>
    <row r="4" spans="1:6" ht="15">
      <c r="A4" s="20">
        <v>2018</v>
      </c>
      <c r="B4" s="22">
        <v>-3</v>
      </c>
      <c r="C4" s="22">
        <v>0</v>
      </c>
      <c r="D4" s="23">
        <f>IF(B4&gt;20,Subordinate_debt_rate*C4,0)</f>
        <v>0</v>
      </c>
      <c r="E4" s="23">
        <f>(C4*Subordinate_debt_rate)+E3</f>
        <v>0</v>
      </c>
      <c r="F4" s="23">
        <f t="shared" ref="F4:F42" si="0">$F$2-E4</f>
        <v>708</v>
      </c>
    </row>
    <row r="5" spans="1:6" ht="15">
      <c r="A5" s="20">
        <v>2019</v>
      </c>
      <c r="B5" s="22">
        <v>-2</v>
      </c>
      <c r="C5" s="22">
        <v>0</v>
      </c>
      <c r="D5" s="23">
        <f>IF(B5&gt;20,Subordinate_debt_rate*C5,0)</f>
        <v>0</v>
      </c>
      <c r="E5" s="23">
        <f>(C5*Subordinate_debt_rate)+E4</f>
        <v>0</v>
      </c>
      <c r="F5" s="23">
        <f t="shared" si="0"/>
        <v>708</v>
      </c>
    </row>
    <row r="6" spans="1:6" ht="15">
      <c r="A6" s="20">
        <v>2020</v>
      </c>
      <c r="B6" s="22">
        <v>-1</v>
      </c>
      <c r="C6" s="22">
        <v>0</v>
      </c>
      <c r="D6" s="23">
        <f>IF(B6&gt;20,Subordinate_debt_rate*C6,0)</f>
        <v>0</v>
      </c>
      <c r="E6" s="23">
        <f>(C6*Subordinate_debt_rate)+E5</f>
        <v>0</v>
      </c>
      <c r="F6" s="23">
        <f t="shared" si="0"/>
        <v>708</v>
      </c>
    </row>
    <row r="7" spans="1:6" ht="15">
      <c r="A7" s="20">
        <v>2021</v>
      </c>
      <c r="B7" s="22">
        <v>0</v>
      </c>
      <c r="C7" s="22">
        <v>0</v>
      </c>
      <c r="D7" s="23">
        <f>IF(B7&gt;20,Subordinate_debt_rate*C7,0)</f>
        <v>0</v>
      </c>
      <c r="E7" s="23">
        <f>(C7*Subordinate_debt_rate)+E6</f>
        <v>0</v>
      </c>
      <c r="F7" s="23">
        <f t="shared" si="0"/>
        <v>708</v>
      </c>
    </row>
    <row r="8" spans="1:6" ht="15">
      <c r="A8" s="20">
        <v>2022</v>
      </c>
      <c r="B8" s="22">
        <v>1</v>
      </c>
      <c r="C8" s="22">
        <v>-141.34000000000003</v>
      </c>
      <c r="D8" s="23">
        <f>IF(B8&gt;20,Subordinate_debt_rate*C8,0)</f>
        <v>0</v>
      </c>
      <c r="E8" s="23">
        <f>(C8*Subordinate_debt_rate)+E7</f>
        <v>-14.134000000000004</v>
      </c>
      <c r="F8" s="23">
        <f t="shared" si="0"/>
        <v>722.13400000000001</v>
      </c>
    </row>
    <row r="9" spans="1:6" ht="15">
      <c r="A9" s="20">
        <v>2023</v>
      </c>
      <c r="B9" s="22">
        <v>2</v>
      </c>
      <c r="C9" s="22">
        <v>-34.521250000000066</v>
      </c>
      <c r="D9" s="23">
        <f>IF(B9&gt;20,Subordinate_debt_rate*C9,0)</f>
        <v>0</v>
      </c>
      <c r="E9" s="23">
        <f>(C9*Subordinate_debt_rate)+E8</f>
        <v>-17.58612500000001</v>
      </c>
      <c r="F9" s="23">
        <f t="shared" si="0"/>
        <v>725.58612500000004</v>
      </c>
    </row>
    <row r="10" spans="1:6" ht="15">
      <c r="A10" s="20">
        <v>2024</v>
      </c>
      <c r="B10" s="22">
        <v>3</v>
      </c>
      <c r="C10" s="22">
        <v>-24.311922500000037</v>
      </c>
      <c r="D10" s="23">
        <f>IF(B10&gt;20,Subordinate_debt_rate*C10,0)</f>
        <v>0</v>
      </c>
      <c r="E10" s="23">
        <f>(C10*Subordinate_debt_rate)+E9</f>
        <v>-20.017317250000012</v>
      </c>
      <c r="F10" s="23">
        <f t="shared" si="0"/>
        <v>728.01731725000002</v>
      </c>
    </row>
    <row r="11" spans="1:6" ht="15">
      <c r="A11" s="20">
        <v>2025</v>
      </c>
      <c r="B11" s="22">
        <v>4</v>
      </c>
      <c r="C11" s="22">
        <v>-26.525837225000032</v>
      </c>
      <c r="D11" s="23">
        <f>IF(B11&gt;20,Subordinate_debt_rate*C11,0)</f>
        <v>0</v>
      </c>
      <c r="E11" s="23">
        <f>(C11*Subordinate_debt_rate)+E10</f>
        <v>-22.669900972500017</v>
      </c>
      <c r="F11" s="23">
        <f t="shared" si="0"/>
        <v>730.66990097250005</v>
      </c>
    </row>
    <row r="12" spans="1:6" ht="15">
      <c r="A12" s="20">
        <v>2026</v>
      </c>
      <c r="B12" s="22">
        <v>5</v>
      </c>
      <c r="C12" s="22">
        <v>-40.146139930744482</v>
      </c>
      <c r="D12" s="23">
        <f>IF(B12&gt;20,Subordinate_debt_rate*C12,0)</f>
        <v>0</v>
      </c>
      <c r="E12" s="23">
        <f>(C12*Subordinate_debt_rate)+E11</f>
        <v>-26.684514965574465</v>
      </c>
      <c r="F12" s="23">
        <f t="shared" si="0"/>
        <v>734.68451496557441</v>
      </c>
    </row>
    <row r="13" spans="1:6" ht="15">
      <c r="A13" s="20">
        <v>2027</v>
      </c>
      <c r="B13" s="22">
        <v>6</v>
      </c>
      <c r="C13" s="22">
        <v>-40.334097006161073</v>
      </c>
      <c r="D13" s="23">
        <f>IF(B13&gt;20,Subordinate_debt_rate*C13,0)</f>
        <v>0</v>
      </c>
      <c r="E13" s="23">
        <f>(C13*Subordinate_debt_rate)+E12</f>
        <v>-30.717924666190573</v>
      </c>
      <c r="F13" s="23">
        <f t="shared" si="0"/>
        <v>738.71792466619058</v>
      </c>
    </row>
    <row r="14" spans="1:6" ht="15">
      <c r="A14" s="20">
        <v>2028</v>
      </c>
      <c r="B14" s="22">
        <v>7</v>
      </c>
      <c r="C14" s="22">
        <v>-23.423771129187628</v>
      </c>
      <c r="D14" s="23">
        <f>IF(B14&gt;20,Subordinate_debt_rate*C14,0)</f>
        <v>0</v>
      </c>
      <c r="E14" s="23">
        <f>(C14*Subordinate_debt_rate)+E13</f>
        <v>-33.060301779109338</v>
      </c>
      <c r="F14" s="23">
        <f t="shared" si="0"/>
        <v>741.0603017791093</v>
      </c>
    </row>
    <row r="15" spans="1:6" ht="15">
      <c r="A15" s="20">
        <v>2029</v>
      </c>
      <c r="B15" s="22">
        <v>8</v>
      </c>
      <c r="C15" s="22">
        <v>-23.077645477921578</v>
      </c>
      <c r="D15" s="23">
        <f>IF(B15&gt;20,Subordinate_debt_rate*C15,0)</f>
        <v>0</v>
      </c>
      <c r="E15" s="23">
        <f>(C15*Subordinate_debt_rate)+E14</f>
        <v>-35.368066326901499</v>
      </c>
      <c r="F15" s="23">
        <f t="shared" si="0"/>
        <v>743.3680663269015</v>
      </c>
    </row>
    <row r="16" spans="1:6" ht="15">
      <c r="A16" s="20">
        <v>2030</v>
      </c>
      <c r="B16" s="22">
        <v>9</v>
      </c>
      <c r="C16" s="22">
        <v>-2.8947672257257864</v>
      </c>
      <c r="D16" s="23">
        <f>IF(B16&gt;20,Subordinate_debt_rate*C16,0)</f>
        <v>0</v>
      </c>
      <c r="E16" s="23">
        <f>(C16*Subordinate_debt_rate)+E15</f>
        <v>-35.657543049474079</v>
      </c>
      <c r="F16" s="23">
        <f t="shared" si="0"/>
        <v>743.65754304947404</v>
      </c>
    </row>
    <row r="17" spans="1:6" ht="15">
      <c r="A17" s="20">
        <v>2031</v>
      </c>
      <c r="B17" s="22">
        <v>10</v>
      </c>
      <c r="C17" s="22">
        <v>-1.8413634233832568</v>
      </c>
      <c r="D17" s="23">
        <f>IF(B17&gt;20,Subordinate_debt_rate*C17,0)</f>
        <v>0</v>
      </c>
      <c r="E17" s="23">
        <f>(C17*Subordinate_debt_rate)+E16</f>
        <v>-35.841679391812406</v>
      </c>
      <c r="F17" s="23">
        <f t="shared" si="0"/>
        <v>743.84167939181236</v>
      </c>
    </row>
    <row r="18" spans="1:6" ht="15">
      <c r="A18" s="20">
        <v>2032</v>
      </c>
      <c r="B18" s="22">
        <v>11</v>
      </c>
      <c r="C18" s="22">
        <v>22.223647479117631</v>
      </c>
      <c r="D18" s="23">
        <f>IF(B18&gt;20,Subordinate_debt_rate*C18,0)</f>
        <v>0</v>
      </c>
      <c r="E18" s="23">
        <f>(C18*Subordinate_debt_rate)+E17</f>
        <v>-33.619314643900644</v>
      </c>
      <c r="F18" s="23">
        <f t="shared" si="0"/>
        <v>741.61931464390068</v>
      </c>
    </row>
    <row r="19" spans="1:6" ht="15">
      <c r="A19" s="20">
        <v>2033</v>
      </c>
      <c r="B19" s="22">
        <v>12</v>
      </c>
      <c r="C19" s="22">
        <v>24.194545591428948</v>
      </c>
      <c r="D19" s="23">
        <f>IF(B19&gt;20,Subordinate_debt_rate*C19,0)</f>
        <v>0</v>
      </c>
      <c r="E19" s="23">
        <f>(C19*Subordinate_debt_rate)+E18</f>
        <v>-31.199860084757749</v>
      </c>
      <c r="F19" s="23">
        <f t="shared" si="0"/>
        <v>739.1998600847578</v>
      </c>
    </row>
    <row r="20" spans="1:6" ht="15">
      <c r="A20" s="20">
        <v>2034</v>
      </c>
      <c r="B20" s="22">
        <v>13</v>
      </c>
      <c r="C20" s="22">
        <v>52.857596340011497</v>
      </c>
      <c r="D20" s="23">
        <f>IF(B20&gt;20,Subordinate_debt_rate*C20,0)</f>
        <v>0</v>
      </c>
      <c r="E20" s="23">
        <f>(C20*Subordinate_debt_rate)+E19</f>
        <v>-25.9141004507566</v>
      </c>
      <c r="F20" s="23">
        <f t="shared" si="0"/>
        <v>733.91410045075656</v>
      </c>
    </row>
    <row r="21" spans="1:6" ht="15">
      <c r="A21" s="20">
        <v>2035</v>
      </c>
      <c r="B21" s="22">
        <v>14</v>
      </c>
      <c r="C21" s="22">
        <v>56.000131247404369</v>
      </c>
      <c r="D21" s="23">
        <f>IF(B21&gt;20,Subordinate_debt_rate*C21,0)</f>
        <v>0</v>
      </c>
      <c r="E21" s="23">
        <f>(C21*Subordinate_debt_rate)+E20</f>
        <v>-20.314087326016164</v>
      </c>
      <c r="F21" s="23">
        <f t="shared" si="0"/>
        <v>728.31408732601619</v>
      </c>
    </row>
    <row r="22" spans="1:6" ht="15">
      <c r="A22" s="20">
        <v>2036</v>
      </c>
      <c r="B22" s="22">
        <v>15</v>
      </c>
      <c r="C22" s="22">
        <v>90.101343771782695</v>
      </c>
      <c r="D22" s="23">
        <f>IF(B22&gt;20,Subordinate_debt_rate*C22,0)</f>
        <v>0</v>
      </c>
      <c r="E22" s="23">
        <f>(C22*Subordinate_debt_rate)+E21</f>
        <v>-11.303952948837894</v>
      </c>
      <c r="F22" s="23">
        <f t="shared" si="0"/>
        <v>719.30395294883795</v>
      </c>
    </row>
    <row r="23" spans="1:6" ht="15">
      <c r="A23" s="20">
        <v>2037</v>
      </c>
      <c r="B23" s="22">
        <v>16</v>
      </c>
      <c r="C23" s="22">
        <v>94.721697190186575</v>
      </c>
      <c r="D23" s="23">
        <f>IF(B23&gt;20,Subordinate_debt_rate*C23,0)</f>
        <v>0</v>
      </c>
      <c r="E23" s="23">
        <f>(C23*Subordinate_debt_rate)+E22</f>
        <v>-1.8317832298192371</v>
      </c>
      <c r="F23" s="23">
        <f t="shared" si="0"/>
        <v>709.83178322981928</v>
      </c>
    </row>
    <row r="24" spans="1:6" ht="15">
      <c r="A24" s="20">
        <v>2038</v>
      </c>
      <c r="B24" s="22">
        <v>17</v>
      </c>
      <c r="C24" s="22">
        <v>135.24624082819182</v>
      </c>
      <c r="D24" s="23">
        <f>IF(B24&gt;20,Subordinate_debt_rate*C24,0)</f>
        <v>0</v>
      </c>
      <c r="E24" s="23">
        <f>(C24*Subordinate_debt_rate)+E23</f>
        <v>11.692840852999945</v>
      </c>
      <c r="F24" s="23">
        <f t="shared" si="0"/>
        <v>696.30715914700011</v>
      </c>
    </row>
    <row r="25" spans="1:6" ht="15">
      <c r="A25" s="20">
        <v>2039</v>
      </c>
      <c r="B25" s="22">
        <v>18</v>
      </c>
      <c r="C25" s="22">
        <v>141.71215753114529</v>
      </c>
      <c r="D25" s="23">
        <f>IF(B25&gt;20,Subordinate_debt_rate*C25,0)</f>
        <v>0</v>
      </c>
      <c r="E25" s="23">
        <f>(C25*Subordinate_debt_rate)+E24</f>
        <v>25.864056606114474</v>
      </c>
      <c r="F25" s="23">
        <f t="shared" si="0"/>
        <v>682.13594339388555</v>
      </c>
    </row>
    <row r="26" spans="1:6" ht="15">
      <c r="A26" s="20">
        <v>2040</v>
      </c>
      <c r="B26" s="22">
        <v>19</v>
      </c>
      <c r="C26" s="22">
        <v>179.48873354132039</v>
      </c>
      <c r="D26" s="23">
        <f>IF(B26&gt;20,Subordinate_debt_rate*C26,0)</f>
        <v>0</v>
      </c>
      <c r="E26" s="23">
        <f>(C26*Subordinate_debt_rate)+E25</f>
        <v>43.812929960246514</v>
      </c>
      <c r="F26" s="23">
        <f t="shared" si="0"/>
        <v>664.18707003975351</v>
      </c>
    </row>
    <row r="27" spans="1:6" ht="15">
      <c r="A27" s="20">
        <v>2041</v>
      </c>
      <c r="B27" s="22">
        <v>20</v>
      </c>
      <c r="C27" s="22">
        <v>185.96518377421859</v>
      </c>
      <c r="D27" s="23">
        <f>IF(B27&gt;20,Subordinate_debt_rate*C27,0)</f>
        <v>0</v>
      </c>
      <c r="E27" s="23">
        <f>(C27*Subordinate_debt_rate)+E26</f>
        <v>62.409448337668373</v>
      </c>
      <c r="F27" s="23">
        <f t="shared" si="0"/>
        <v>645.59055166233168</v>
      </c>
    </row>
    <row r="28" spans="1:6" ht="15">
      <c r="A28" s="20">
        <v>2042</v>
      </c>
      <c r="B28" s="22">
        <v>21</v>
      </c>
      <c r="C28" s="22">
        <v>216.31298259317219</v>
      </c>
      <c r="D28" s="23">
        <f>IF(B28&gt;20,Subordinate_debt_rate*C28,0)</f>
        <v>21.631298259317219</v>
      </c>
      <c r="E28" s="23">
        <f>(C28*Subordinate_debt_rate)+E27</f>
        <v>84.040746596985599</v>
      </c>
      <c r="F28" s="23">
        <f t="shared" si="0"/>
        <v>623.95925340301437</v>
      </c>
    </row>
    <row r="29" spans="1:6" ht="15">
      <c r="A29" s="20">
        <v>2043</v>
      </c>
      <c r="B29" s="22">
        <v>22</v>
      </c>
      <c r="C29" s="22">
        <v>223.66147222120549</v>
      </c>
      <c r="D29" s="23">
        <f>IF(B29&gt;20,Subordinate_debt_rate*C29,0)</f>
        <v>22.366147222120549</v>
      </c>
      <c r="E29" s="23">
        <f>(C29*Subordinate_debt_rate)+E28</f>
        <v>106.40689381910614</v>
      </c>
      <c r="F29" s="23">
        <f t="shared" si="0"/>
        <v>601.59310618089387</v>
      </c>
    </row>
    <row r="30" spans="1:6" ht="15">
      <c r="A30" s="20">
        <v>2044</v>
      </c>
      <c r="B30" s="22">
        <v>23</v>
      </c>
      <c r="C30" s="22">
        <v>272.4352088619778</v>
      </c>
      <c r="D30" s="23">
        <f>IF(B30&gt;20,Subordinate_debt_rate*C30,0)</f>
        <v>27.243520886197782</v>
      </c>
      <c r="E30" s="23">
        <f>(C30*Subordinate_debt_rate)+E29</f>
        <v>133.65041470530392</v>
      </c>
      <c r="F30" s="23">
        <f t="shared" si="0"/>
        <v>574.34958529469611</v>
      </c>
    </row>
    <row r="31" spans="1:6" ht="15">
      <c r="A31" s="20">
        <v>2045</v>
      </c>
      <c r="B31" s="22">
        <v>24</v>
      </c>
      <c r="C31" s="22">
        <v>282.32917948905049</v>
      </c>
      <c r="D31" s="23">
        <f>IF(B31&gt;20,Subordinate_debt_rate*C31,0)</f>
        <v>28.232917948905051</v>
      </c>
      <c r="E31" s="23">
        <f>(C31*Subordinate_debt_rate)+E30</f>
        <v>161.88333265420897</v>
      </c>
      <c r="F31" s="23">
        <f t="shared" si="0"/>
        <v>546.11666734579103</v>
      </c>
    </row>
    <row r="32" spans="1:6" ht="15">
      <c r="A32" s="20">
        <v>2046</v>
      </c>
      <c r="B32" s="22">
        <v>25</v>
      </c>
      <c r="C32" s="22">
        <v>340.25171528368884</v>
      </c>
      <c r="D32" s="23">
        <f>IF(B32&gt;20,Subordinate_debt_rate*C32,0)</f>
        <v>34.025171528368887</v>
      </c>
      <c r="E32" s="23">
        <f>(C32*Subordinate_debt_rate)+E31</f>
        <v>195.90850418257787</v>
      </c>
      <c r="F32" s="23">
        <f t="shared" si="0"/>
        <v>512.09149581742213</v>
      </c>
    </row>
    <row r="33" spans="1:6" ht="15">
      <c r="A33" s="20">
        <v>2047</v>
      </c>
      <c r="B33" s="22">
        <v>26</v>
      </c>
      <c r="C33" s="22">
        <v>353.24366701058625</v>
      </c>
      <c r="D33" s="23">
        <f>IF(B33&gt;20,Subordinate_debt_rate*C33,0)</f>
        <v>35.324366701058629</v>
      </c>
      <c r="E33" s="23">
        <f>(C33*Subordinate_debt_rate)+E32</f>
        <v>231.23287088363651</v>
      </c>
      <c r="F33" s="23">
        <f t="shared" si="0"/>
        <v>476.76712911636349</v>
      </c>
    </row>
    <row r="34" spans="1:6" ht="15">
      <c r="A34" s="20">
        <v>2048</v>
      </c>
      <c r="B34" s="22">
        <v>27</v>
      </c>
      <c r="C34" s="22">
        <v>421.91644559373287</v>
      </c>
      <c r="D34" s="23">
        <f>IF(B34&gt;20,Subordinate_debt_rate*C34,0)</f>
        <v>42.191644559373287</v>
      </c>
      <c r="E34" s="23">
        <f>(C34*Subordinate_debt_rate)+E33</f>
        <v>273.4245154430098</v>
      </c>
      <c r="F34" s="23">
        <f t="shared" si="0"/>
        <v>434.5754845569902</v>
      </c>
    </row>
    <row r="35" spans="1:6" ht="15">
      <c r="A35" s="20">
        <v>2049</v>
      </c>
      <c r="B35" s="22">
        <v>28</v>
      </c>
      <c r="C35" s="22">
        <v>438.66259406912405</v>
      </c>
      <c r="D35" s="23">
        <f>IF(B35&gt;20,Subordinate_debt_rate*C35,0)</f>
        <v>43.866259406912405</v>
      </c>
      <c r="E35" s="23">
        <f>(C35*Subordinate_debt_rate)+E34</f>
        <v>317.29077484992217</v>
      </c>
      <c r="F35" s="23">
        <f t="shared" si="0"/>
        <v>390.70922515007783</v>
      </c>
    </row>
    <row r="36" spans="1:6" ht="15">
      <c r="A36" s="20">
        <v>2050</v>
      </c>
      <c r="B36" s="22">
        <v>29</v>
      </c>
      <c r="C36" s="22">
        <v>519.95701149849401</v>
      </c>
      <c r="D36" s="23">
        <f>IF(B36&gt;20,Subordinate_debt_rate*C36,0)</f>
        <v>51.995701149849403</v>
      </c>
      <c r="E36" s="23">
        <f>(C36*Subordinate_debt_rate)+E35</f>
        <v>369.2864759997716</v>
      </c>
      <c r="F36" s="23">
        <f t="shared" si="0"/>
        <v>338.7135240002284</v>
      </c>
    </row>
    <row r="37" spans="1:6" ht="15">
      <c r="A37" s="20">
        <v>2051</v>
      </c>
      <c r="B37" s="22">
        <v>30</v>
      </c>
      <c r="C37" s="22">
        <v>541.23547918691236</v>
      </c>
      <c r="D37" s="23">
        <f>IF(B37&gt;20,Subordinate_debt_rate*C37,0)</f>
        <v>54.123547918691237</v>
      </c>
      <c r="E37" s="23">
        <f>(C37*Subordinate_debt_rate)+E36</f>
        <v>423.41002391846285</v>
      </c>
      <c r="F37" s="23">
        <f t="shared" si="0"/>
        <v>284.58997608153715</v>
      </c>
    </row>
    <row r="38" spans="1:6" ht="15">
      <c r="A38" s="20">
        <v>2052</v>
      </c>
      <c r="B38" s="22">
        <v>31</v>
      </c>
      <c r="C38" s="22">
        <v>627.45737858248299</v>
      </c>
      <c r="D38" s="23">
        <f>IF(B38&gt;20,Subordinate_debt_rate*C38,0)</f>
        <v>62.745737858248305</v>
      </c>
      <c r="E38" s="23">
        <f>(C38*Subordinate_debt_rate)+E37</f>
        <v>486.15576177671119</v>
      </c>
      <c r="F38" s="23">
        <f t="shared" si="0"/>
        <v>221.84423822328881</v>
      </c>
    </row>
    <row r="39" spans="1:6" ht="15">
      <c r="A39" s="20">
        <v>2053</v>
      </c>
      <c r="B39" s="22">
        <v>32</v>
      </c>
      <c r="C39" s="22">
        <v>654.18945950032798</v>
      </c>
      <c r="D39" s="23">
        <f>IF(B39&gt;20,Subordinate_debt_rate*C39,0)</f>
        <v>65.418945950032807</v>
      </c>
      <c r="E39" s="23">
        <f>(C39*Subordinate_debt_rate)+E38</f>
        <v>551.57470772674401</v>
      </c>
      <c r="F39" s="23">
        <f t="shared" si="0"/>
        <v>156.42529227325599</v>
      </c>
    </row>
    <row r="40" spans="1:6" ht="15">
      <c r="A40" s="20">
        <v>2054</v>
      </c>
      <c r="B40" s="22">
        <v>33</v>
      </c>
      <c r="C40" s="22">
        <v>767.65085652857942</v>
      </c>
      <c r="D40" s="23">
        <f>IF(B40&gt;20,Subordinate_debt_rate*C40,0)</f>
        <v>76.765085652857948</v>
      </c>
      <c r="E40" s="23">
        <f>(C40*Subordinate_debt_rate)+E39</f>
        <v>628.33979337960193</v>
      </c>
      <c r="F40" s="23">
        <f t="shared" si="0"/>
        <v>79.660206620398071</v>
      </c>
    </row>
    <row r="41" spans="1:6" ht="15">
      <c r="A41" s="20">
        <v>2055</v>
      </c>
      <c r="B41" s="22">
        <v>34</v>
      </c>
      <c r="C41" s="22">
        <v>800.92586214553523</v>
      </c>
      <c r="D41" s="23">
        <f>IF(B41&gt;20,Subordinate_debt_rate*C41,0)</f>
        <v>80.092586214553535</v>
      </c>
      <c r="E41" s="23">
        <f>(C41*Subordinate_debt_rate)+E40</f>
        <v>708.43237959415546</v>
      </c>
      <c r="F41" s="23">
        <f t="shared" si="0"/>
        <v>-0.43237959415546356</v>
      </c>
    </row>
    <row r="42" spans="1:6" ht="15">
      <c r="A42" s="20">
        <v>2056</v>
      </c>
      <c r="B42" s="22">
        <v>35</v>
      </c>
      <c r="C42" s="22">
        <v>934.72506563899822</v>
      </c>
      <c r="D42" s="23">
        <f>IF(B42&gt;20,Subordinate_debt_rate*C42,0)</f>
        <v>93.472506563899827</v>
      </c>
      <c r="E42" s="23">
        <f>(C42*Subordinate_debt_rate)+E41</f>
        <v>801.90488615805532</v>
      </c>
      <c r="F42" s="23">
        <f t="shared" si="0"/>
        <v>-93.904886158055319</v>
      </c>
    </row>
  </sheetData>
  <conditionalFormatting sqref="E1:E1048576">
    <cfRule type="cellIs" dxfId="0" priority="1" operator="greaterThan">
      <formula>708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9E8A3-6396-4A7F-8ADF-3FE18A3352A3}">
  <dimension ref="A1:O44"/>
  <sheetViews>
    <sheetView topLeftCell="D18" zoomScale="90" zoomScaleNormal="90" workbookViewId="0">
      <selection activeCell="I31" sqref="I31"/>
    </sheetView>
  </sheetViews>
  <sheetFormatPr defaultRowHeight="14.45"/>
  <cols>
    <col min="3" max="3" width="14.7109375" customWidth="1"/>
    <col min="5" max="5" width="17.7109375" customWidth="1"/>
    <col min="6" max="6" width="16.5703125" customWidth="1"/>
    <col min="7" max="8" width="17.5703125" customWidth="1"/>
    <col min="9" max="9" width="16.7109375" customWidth="1"/>
    <col min="12" max="12" width="13.5703125" customWidth="1"/>
    <col min="13" max="13" width="12" customWidth="1"/>
    <col min="14" max="14" width="13" customWidth="1"/>
    <col min="15" max="15" width="15" customWidth="1"/>
  </cols>
  <sheetData>
    <row r="1" spans="1:15" ht="15">
      <c r="A1" s="21" t="s">
        <v>198</v>
      </c>
      <c r="B1" s="21" t="s">
        <v>198</v>
      </c>
      <c r="C1" s="21" t="s">
        <v>211</v>
      </c>
      <c r="D1" s="21" t="s">
        <v>57</v>
      </c>
      <c r="E1" s="21" t="s">
        <v>212</v>
      </c>
      <c r="F1" s="21" t="s">
        <v>213</v>
      </c>
      <c r="G1" s="21" t="s">
        <v>214</v>
      </c>
      <c r="H1" s="21" t="s">
        <v>215</v>
      </c>
      <c r="I1" s="21" t="s">
        <v>216</v>
      </c>
      <c r="J1" s="21" t="s">
        <v>9</v>
      </c>
      <c r="K1" s="21" t="s">
        <v>8</v>
      </c>
      <c r="L1" s="21" t="s">
        <v>217</v>
      </c>
      <c r="M1" s="36" t="s">
        <v>218</v>
      </c>
      <c r="N1" s="1"/>
      <c r="O1" s="1"/>
    </row>
    <row r="2" spans="1:15" ht="15">
      <c r="A2" s="20" t="s">
        <v>219</v>
      </c>
      <c r="B2" s="22">
        <v>2016</v>
      </c>
      <c r="C2" s="22"/>
      <c r="D2" s="23" cm="1">
        <f t="array" ref="D2:D42">EBITDA</f>
        <v>0</v>
      </c>
      <c r="E2" s="23"/>
      <c r="F2" s="23"/>
      <c r="G2" s="24"/>
      <c r="H2" s="23" cm="1">
        <f t="array" ref="H2:H42">Tax</f>
        <v>0</v>
      </c>
      <c r="I2" s="23">
        <f>D2-E2-F2-G2</f>
        <v>0</v>
      </c>
      <c r="J2" s="25">
        <f>PCMC</f>
        <v>0.13150621833256565</v>
      </c>
      <c r="K2" s="25">
        <f>PCMC</f>
        <v>0.13150621833256565</v>
      </c>
      <c r="L2" s="34">
        <f>IF($I$2&gt;0,$I$2*J2,0)</f>
        <v>0</v>
      </c>
      <c r="M2" s="22">
        <f>IF($I2&gt;0,$I2*K2,0)</f>
        <v>0</v>
      </c>
      <c r="O2" s="1"/>
    </row>
    <row r="3" spans="1:15" ht="15">
      <c r="A3" s="20" t="s">
        <v>220</v>
      </c>
      <c r="B3" s="22">
        <v>2017</v>
      </c>
      <c r="C3" s="22" cm="1">
        <f t="array" ref="C3:C7">Equity_5_yrs</f>
        <v>1462</v>
      </c>
      <c r="D3" s="23">
        <v>0</v>
      </c>
      <c r="E3" s="23"/>
      <c r="F3" s="23"/>
      <c r="G3" s="24"/>
      <c r="H3" s="23">
        <v>0</v>
      </c>
      <c r="I3" s="23">
        <f t="shared" ref="I3:I42" si="0">D3-E3-F3-G3</f>
        <v>0</v>
      </c>
      <c r="J3" s="25">
        <f>PCMC</f>
        <v>0.13150621833256565</v>
      </c>
      <c r="K3" s="25">
        <f>PCMC</f>
        <v>0.13150621833256565</v>
      </c>
      <c r="L3" s="34">
        <f t="shared" ref="L3:L42" si="1">IF(I3&gt;0,I3*J3,0)</f>
        <v>0</v>
      </c>
      <c r="M3" s="22">
        <f t="shared" ref="M3:M42" si="2">IF($I3&gt;0,$I3*K3,0)</f>
        <v>0</v>
      </c>
      <c r="O3" s="1"/>
    </row>
    <row r="4" spans="1:15" ht="15">
      <c r="A4" s="20" t="s">
        <v>221</v>
      </c>
      <c r="B4" s="22">
        <v>2018</v>
      </c>
      <c r="C4" s="22">
        <v>320</v>
      </c>
      <c r="D4" s="23">
        <v>0</v>
      </c>
      <c r="E4" s="23"/>
      <c r="F4" s="23"/>
      <c r="G4" s="24"/>
      <c r="H4" s="23">
        <v>0</v>
      </c>
      <c r="I4" s="23">
        <f t="shared" si="0"/>
        <v>0</v>
      </c>
      <c r="J4" s="25">
        <f>PCMC</f>
        <v>0.13150621833256565</v>
      </c>
      <c r="K4" s="25">
        <f>PCMC</f>
        <v>0.13150621833256565</v>
      </c>
      <c r="L4" s="34">
        <f t="shared" si="1"/>
        <v>0</v>
      </c>
      <c r="M4" s="22">
        <f t="shared" si="2"/>
        <v>0</v>
      </c>
      <c r="O4" s="1"/>
    </row>
    <row r="5" spans="1:15" ht="15">
      <c r="A5" s="20" t="s">
        <v>222</v>
      </c>
      <c r="B5" s="22">
        <v>2019</v>
      </c>
      <c r="C5" s="22">
        <v>960</v>
      </c>
      <c r="D5" s="23">
        <v>0</v>
      </c>
      <c r="E5" s="23"/>
      <c r="F5" s="23"/>
      <c r="G5" s="24"/>
      <c r="H5" s="23">
        <v>0</v>
      </c>
      <c r="I5" s="23">
        <f t="shared" si="0"/>
        <v>0</v>
      </c>
      <c r="J5" s="25">
        <f>PCMC</f>
        <v>0.13150621833256565</v>
      </c>
      <c r="K5" s="25">
        <f>PCMC</f>
        <v>0.13150621833256565</v>
      </c>
      <c r="L5" s="34">
        <f t="shared" si="1"/>
        <v>0</v>
      </c>
      <c r="M5" s="22">
        <f t="shared" si="2"/>
        <v>0</v>
      </c>
      <c r="O5" s="1"/>
    </row>
    <row r="6" spans="1:15" ht="15">
      <c r="A6" s="20" t="s">
        <v>223</v>
      </c>
      <c r="B6" s="22">
        <v>2020</v>
      </c>
      <c r="C6" s="22">
        <v>960</v>
      </c>
      <c r="D6" s="23">
        <v>0</v>
      </c>
      <c r="E6" s="23"/>
      <c r="F6" s="23"/>
      <c r="G6" s="24"/>
      <c r="H6" s="23">
        <v>0</v>
      </c>
      <c r="I6" s="23">
        <f t="shared" si="0"/>
        <v>0</v>
      </c>
      <c r="J6" s="25">
        <f>PCMC</f>
        <v>0.13150621833256565</v>
      </c>
      <c r="K6" s="25">
        <f>PCMC</f>
        <v>0.13150621833256565</v>
      </c>
      <c r="L6" s="34">
        <f t="shared" si="1"/>
        <v>0</v>
      </c>
      <c r="M6" s="22">
        <f t="shared" si="2"/>
        <v>0</v>
      </c>
      <c r="O6" s="1"/>
    </row>
    <row r="7" spans="1:15" ht="15">
      <c r="A7" s="20" t="s">
        <v>224</v>
      </c>
      <c r="B7" s="22">
        <v>2021</v>
      </c>
      <c r="C7" s="22">
        <v>640</v>
      </c>
      <c r="D7" s="23">
        <v>0</v>
      </c>
      <c r="E7" s="23"/>
      <c r="F7" s="23"/>
      <c r="G7" s="24"/>
      <c r="H7" s="23">
        <v>0</v>
      </c>
      <c r="I7" s="23">
        <f t="shared" si="0"/>
        <v>0</v>
      </c>
      <c r="J7" s="25">
        <f>PCMC</f>
        <v>0.13150621833256565</v>
      </c>
      <c r="K7" s="25">
        <f>PCMC</f>
        <v>0.13150621833256565</v>
      </c>
      <c r="L7" s="34">
        <f t="shared" si="1"/>
        <v>0</v>
      </c>
      <c r="M7" s="22">
        <f t="shared" si="2"/>
        <v>0</v>
      </c>
      <c r="O7" s="1"/>
    </row>
    <row r="8" spans="1:15" ht="15">
      <c r="A8" s="20" t="s">
        <v>225</v>
      </c>
      <c r="B8" s="22">
        <v>2022</v>
      </c>
      <c r="C8" s="22"/>
      <c r="D8" s="23">
        <v>-141.34000000000003</v>
      </c>
      <c r="E8" s="23"/>
      <c r="F8" s="23"/>
      <c r="G8" s="24"/>
      <c r="H8" s="23">
        <v>0</v>
      </c>
      <c r="I8" s="23">
        <f t="shared" si="0"/>
        <v>-141.34000000000003</v>
      </c>
      <c r="J8" s="25">
        <f>PCMC</f>
        <v>0.13150621833256565</v>
      </c>
      <c r="K8" s="25">
        <f>PCMC</f>
        <v>0.13150621833256565</v>
      </c>
      <c r="L8" s="34">
        <f t="shared" si="1"/>
        <v>0</v>
      </c>
      <c r="M8" s="22">
        <f t="shared" si="2"/>
        <v>0</v>
      </c>
      <c r="O8" s="1"/>
    </row>
    <row r="9" spans="1:15" ht="15">
      <c r="A9" s="20" t="s">
        <v>226</v>
      </c>
      <c r="B9" s="22">
        <v>2023</v>
      </c>
      <c r="C9" s="22"/>
      <c r="D9" s="23">
        <v>-34.521250000000038</v>
      </c>
      <c r="E9" s="23"/>
      <c r="F9" s="23"/>
      <c r="G9" s="24"/>
      <c r="H9" s="23">
        <v>0</v>
      </c>
      <c r="I9" s="23">
        <f t="shared" si="0"/>
        <v>-34.521250000000038</v>
      </c>
      <c r="J9" s="25">
        <f>PCMC</f>
        <v>0.13150621833256565</v>
      </c>
      <c r="K9" s="25">
        <f>PCMC</f>
        <v>0.13150621833256565</v>
      </c>
      <c r="L9" s="34">
        <f t="shared" si="1"/>
        <v>0</v>
      </c>
      <c r="M9" s="22">
        <f t="shared" si="2"/>
        <v>0</v>
      </c>
      <c r="O9" s="1"/>
    </row>
    <row r="10" spans="1:15" ht="15">
      <c r="A10" s="20" t="s">
        <v>227</v>
      </c>
      <c r="B10" s="22">
        <v>2024</v>
      </c>
      <c r="C10" s="22"/>
      <c r="D10" s="23">
        <v>-24.311922500000037</v>
      </c>
      <c r="E10" s="23"/>
      <c r="F10" s="23"/>
      <c r="G10" s="24"/>
      <c r="H10" s="23">
        <v>0</v>
      </c>
      <c r="I10" s="23">
        <f t="shared" si="0"/>
        <v>-24.311922500000037</v>
      </c>
      <c r="J10" s="25">
        <f>PCMC</f>
        <v>0.13150621833256565</v>
      </c>
      <c r="K10" s="25">
        <f>PCMC</f>
        <v>0.13150621833256565</v>
      </c>
      <c r="L10" s="34">
        <f t="shared" si="1"/>
        <v>0</v>
      </c>
      <c r="M10" s="22">
        <f t="shared" si="2"/>
        <v>0</v>
      </c>
      <c r="O10" s="1"/>
    </row>
    <row r="11" spans="1:15" ht="15">
      <c r="A11" s="20" t="s">
        <v>228</v>
      </c>
      <c r="B11" s="22">
        <v>2025</v>
      </c>
      <c r="C11" s="22"/>
      <c r="D11" s="23">
        <v>-26.525837225000032</v>
      </c>
      <c r="E11" s="23"/>
      <c r="F11" s="23"/>
      <c r="G11" s="24"/>
      <c r="H11" s="23">
        <v>0</v>
      </c>
      <c r="I11" s="23">
        <f t="shared" si="0"/>
        <v>-26.525837225000032</v>
      </c>
      <c r="J11" s="25">
        <f>PCMC</f>
        <v>0.13150621833256565</v>
      </c>
      <c r="K11" s="25">
        <f>PCMC</f>
        <v>0.13150621833256565</v>
      </c>
      <c r="L11" s="34">
        <f t="shared" si="1"/>
        <v>0</v>
      </c>
      <c r="M11" s="22">
        <f t="shared" si="2"/>
        <v>0</v>
      </c>
      <c r="O11" s="1"/>
    </row>
    <row r="12" spans="1:15" ht="15">
      <c r="A12" s="20" t="s">
        <v>229</v>
      </c>
      <c r="B12" s="22">
        <v>2026</v>
      </c>
      <c r="C12" s="22"/>
      <c r="D12" s="23">
        <v>-14.003378152249979</v>
      </c>
      <c r="E12" s="23" cm="1">
        <f t="array" ref="E12:E27">Debt_service_EIB_yr_5</f>
        <v>361.41585657608232</v>
      </c>
      <c r="F12" s="23" cm="1">
        <f t="array" ref="F12:F27">Debt_service_AFD</f>
        <v>114.37777591614811</v>
      </c>
      <c r="G12" s="24"/>
      <c r="H12" s="23">
        <v>0</v>
      </c>
      <c r="I12" s="23">
        <f t="shared" si="0"/>
        <v>-489.79701064448039</v>
      </c>
      <c r="J12" s="25">
        <f>PCMC</f>
        <v>0.13150621833256565</v>
      </c>
      <c r="K12" s="25">
        <f>PCMC</f>
        <v>0.13150621833256565</v>
      </c>
      <c r="L12" s="34">
        <f t="shared" si="1"/>
        <v>0</v>
      </c>
      <c r="M12" s="22">
        <f t="shared" si="2"/>
        <v>0</v>
      </c>
      <c r="O12" s="1"/>
    </row>
    <row r="13" spans="1:15" ht="15">
      <c r="A13" s="20" t="s">
        <v>230</v>
      </c>
      <c r="B13" s="22">
        <v>2027</v>
      </c>
      <c r="C13" s="22"/>
      <c r="D13" s="23">
        <v>-15.825257838822495</v>
      </c>
      <c r="E13" s="23">
        <v>360.21798205144569</v>
      </c>
      <c r="F13" s="23">
        <v>113.94172782962885</v>
      </c>
      <c r="G13" s="24"/>
      <c r="H13" s="23">
        <v>0</v>
      </c>
      <c r="I13" s="23">
        <f t="shared" si="0"/>
        <v>-489.98496771989704</v>
      </c>
      <c r="J13" s="25">
        <f>PCMC</f>
        <v>0.13150621833256565</v>
      </c>
      <c r="K13" s="25">
        <f>PCMC</f>
        <v>0.13150621833256565</v>
      </c>
      <c r="L13" s="34">
        <f t="shared" si="1"/>
        <v>0</v>
      </c>
      <c r="M13" s="22">
        <f t="shared" si="2"/>
        <v>0</v>
      </c>
      <c r="O13" s="1"/>
    </row>
    <row r="14" spans="1:15" ht="15">
      <c r="A14" s="20" t="s">
        <v>231</v>
      </c>
      <c r="B14" s="22">
        <v>2028</v>
      </c>
      <c r="C14" s="22"/>
      <c r="D14" s="23">
        <v>-0.54885457300497364</v>
      </c>
      <c r="E14" s="23">
        <v>359.02010752680906</v>
      </c>
      <c r="F14" s="23">
        <v>113.50567974310957</v>
      </c>
      <c r="G14" s="24"/>
      <c r="H14" s="23">
        <v>0</v>
      </c>
      <c r="I14" s="23">
        <f t="shared" si="0"/>
        <v>-473.0746418429236</v>
      </c>
      <c r="J14" s="25">
        <f>PCMC</f>
        <v>0.13150621833256565</v>
      </c>
      <c r="K14" s="25">
        <f>PCMC</f>
        <v>0.13150621833256565</v>
      </c>
      <c r="L14" s="34">
        <f t="shared" si="1"/>
        <v>0</v>
      </c>
      <c r="M14" s="22">
        <f t="shared" si="2"/>
        <v>0</v>
      </c>
      <c r="O14" s="1"/>
    </row>
    <row r="15" spans="1:15" ht="15">
      <c r="A15" s="20" t="s">
        <v>232</v>
      </c>
      <c r="B15" s="22">
        <v>2029</v>
      </c>
      <c r="C15" s="22"/>
      <c r="D15" s="23">
        <v>-1.8366515328947912</v>
      </c>
      <c r="E15" s="23">
        <v>357.82223300217242</v>
      </c>
      <c r="F15" s="23">
        <v>113.0696316565903</v>
      </c>
      <c r="G15" s="24"/>
      <c r="H15" s="23">
        <v>0</v>
      </c>
      <c r="I15" s="23">
        <f t="shared" si="0"/>
        <v>-472.72851619165749</v>
      </c>
      <c r="J15" s="25">
        <f>PCMC</f>
        <v>0.13150621833256565</v>
      </c>
      <c r="K15" s="25">
        <f>PCMC</f>
        <v>0.13150621833256565</v>
      </c>
      <c r="L15" s="34">
        <f t="shared" si="1"/>
        <v>0</v>
      </c>
      <c r="M15" s="22">
        <f t="shared" si="2"/>
        <v>0</v>
      </c>
      <c r="O15" s="1"/>
    </row>
    <row r="16" spans="1:15" ht="15">
      <c r="A16" s="20" t="s">
        <v>233</v>
      </c>
      <c r="B16" s="22">
        <v>2030</v>
      </c>
      <c r="C16" s="22"/>
      <c r="D16" s="23">
        <v>16.712304108145076</v>
      </c>
      <c r="E16" s="23">
        <v>356.62435847753579</v>
      </c>
      <c r="F16" s="23">
        <v>112.63358357007104</v>
      </c>
      <c r="G16" s="24"/>
      <c r="H16" s="23">
        <v>0</v>
      </c>
      <c r="I16" s="23">
        <f t="shared" si="0"/>
        <v>-452.54563793946176</v>
      </c>
      <c r="J16" s="25">
        <f>PCMC</f>
        <v>0.13150621833256565</v>
      </c>
      <c r="K16" s="25">
        <f>PCMC</f>
        <v>0.13150621833256565</v>
      </c>
      <c r="L16" s="34">
        <f t="shared" si="1"/>
        <v>0</v>
      </c>
      <c r="M16" s="22">
        <f t="shared" si="2"/>
        <v>0</v>
      </c>
      <c r="O16" s="1"/>
    </row>
    <row r="17" spans="1:15" ht="15">
      <c r="A17" s="20" t="s">
        <v>234</v>
      </c>
      <c r="B17" s="22">
        <v>2031</v>
      </c>
      <c r="C17" s="22"/>
      <c r="D17" s="23">
        <v>16.131785299331739</v>
      </c>
      <c r="E17" s="23">
        <v>355.42648395289916</v>
      </c>
      <c r="F17" s="23">
        <v>112.19753548355176</v>
      </c>
      <c r="G17" s="24"/>
      <c r="H17" s="23">
        <v>0</v>
      </c>
      <c r="I17" s="23">
        <f t="shared" si="0"/>
        <v>-451.49223413711917</v>
      </c>
      <c r="J17" s="25">
        <f>PCMC</f>
        <v>0.13150621833256565</v>
      </c>
      <c r="K17" s="25">
        <f>PCMC</f>
        <v>0.13150621833256565</v>
      </c>
      <c r="L17" s="34">
        <f t="shared" si="1"/>
        <v>0</v>
      </c>
      <c r="M17" s="22">
        <f t="shared" si="2"/>
        <v>0</v>
      </c>
      <c r="O17" s="1"/>
    </row>
    <row r="18" spans="1:15" ht="15">
      <c r="A18" s="20" t="s">
        <v>235</v>
      </c>
      <c r="B18" s="22">
        <v>2032</v>
      </c>
      <c r="C18" s="22"/>
      <c r="D18" s="23">
        <v>38.562873590676702</v>
      </c>
      <c r="E18" s="23">
        <v>354.22860942826253</v>
      </c>
      <c r="F18" s="23">
        <v>111.7614873970325</v>
      </c>
      <c r="G18" s="24"/>
      <c r="H18" s="23">
        <v>0</v>
      </c>
      <c r="I18" s="23">
        <f t="shared" si="0"/>
        <v>-427.42722323461834</v>
      </c>
      <c r="J18" s="25">
        <f>PCMC</f>
        <v>0.13150621833256565</v>
      </c>
      <c r="K18" s="25">
        <f>PCMC</f>
        <v>0.13150621833256565</v>
      </c>
      <c r="L18" s="34">
        <f t="shared" si="1"/>
        <v>0</v>
      </c>
      <c r="M18" s="22">
        <f t="shared" si="2"/>
        <v>0</v>
      </c>
      <c r="O18" s="1"/>
    </row>
    <row r="19" spans="1:15" ht="15">
      <c r="A19" s="20" t="s">
        <v>236</v>
      </c>
      <c r="B19" s="22">
        <v>2033</v>
      </c>
      <c r="C19" s="22"/>
      <c r="D19" s="23">
        <v>38.899849091832095</v>
      </c>
      <c r="E19" s="23">
        <v>353.0307349036259</v>
      </c>
      <c r="F19" s="23">
        <v>111.32543931051322</v>
      </c>
      <c r="G19" s="24"/>
      <c r="H19" s="23">
        <v>0</v>
      </c>
      <c r="I19" s="23">
        <f t="shared" si="0"/>
        <v>-425.45632512230702</v>
      </c>
      <c r="J19" s="25">
        <f>PCMC</f>
        <v>0.13150621833256565</v>
      </c>
      <c r="K19" s="25">
        <f>PCMC</f>
        <v>0.13150621833256565</v>
      </c>
      <c r="L19" s="34">
        <f t="shared" si="1"/>
        <v>0</v>
      </c>
      <c r="M19" s="22">
        <f t="shared" si="2"/>
        <v>0</v>
      </c>
      <c r="O19" s="1"/>
    </row>
    <row r="20" spans="1:15" ht="15">
      <c r="A20" s="20" t="s">
        <v>237</v>
      </c>
      <c r="B20" s="22">
        <v>2034</v>
      </c>
      <c r="C20" s="22"/>
      <c r="D20" s="23">
        <v>65.928977229258749</v>
      </c>
      <c r="E20" s="23">
        <v>351.83286037898927</v>
      </c>
      <c r="F20" s="23">
        <v>110.88939122399395</v>
      </c>
      <c r="G20" s="24"/>
      <c r="H20" s="23">
        <v>0</v>
      </c>
      <c r="I20" s="23">
        <f t="shared" si="0"/>
        <v>-396.79327437372444</v>
      </c>
      <c r="J20" s="25">
        <f>PCMC</f>
        <v>0.13150621833256565</v>
      </c>
      <c r="K20" s="25">
        <f>PCMC</f>
        <v>0.13150621833256565</v>
      </c>
      <c r="L20" s="34">
        <f t="shared" si="1"/>
        <v>0</v>
      </c>
      <c r="M20" s="22">
        <f t="shared" si="2"/>
        <v>0</v>
      </c>
      <c r="O20" s="1"/>
    </row>
    <row r="21" spans="1:15" ht="15">
      <c r="A21" s="20" t="s">
        <v>238</v>
      </c>
      <c r="B21" s="22">
        <v>2035</v>
      </c>
      <c r="C21" s="22"/>
      <c r="D21" s="23">
        <v>67.437589525495696</v>
      </c>
      <c r="E21" s="23">
        <v>350.63498585435264</v>
      </c>
      <c r="F21" s="23">
        <v>110.45334313747469</v>
      </c>
      <c r="G21" s="24"/>
      <c r="H21" s="23">
        <v>0</v>
      </c>
      <c r="I21" s="23">
        <f t="shared" si="0"/>
        <v>-393.65073946633163</v>
      </c>
      <c r="J21" s="25">
        <f>PCMC</f>
        <v>0.13150621833256565</v>
      </c>
      <c r="K21" s="25">
        <f>PCMC</f>
        <v>0.13150621833256565</v>
      </c>
      <c r="L21" s="34">
        <f t="shared" si="1"/>
        <v>0</v>
      </c>
      <c r="M21" s="22">
        <f t="shared" si="2"/>
        <v>0</v>
      </c>
      <c r="O21" s="1"/>
    </row>
    <row r="22" spans="1:15" ht="15">
      <c r="A22" s="20" t="s">
        <v>239</v>
      </c>
      <c r="B22" s="22">
        <v>2036</v>
      </c>
      <c r="C22" s="22"/>
      <c r="D22" s="23">
        <v>99.904879438718126</v>
      </c>
      <c r="E22" s="23">
        <v>349.43711132971595</v>
      </c>
      <c r="F22" s="23">
        <v>110.01729505095541</v>
      </c>
      <c r="G22" s="24"/>
      <c r="H22" s="23">
        <v>0</v>
      </c>
      <c r="I22" s="23">
        <f t="shared" si="0"/>
        <v>-359.54952694195322</v>
      </c>
      <c r="J22" s="25">
        <f>PCMC</f>
        <v>0.13150621833256565</v>
      </c>
      <c r="K22" s="25">
        <f>PCMC</f>
        <v>0.13150621833256565</v>
      </c>
      <c r="L22" s="34">
        <f t="shared" si="1"/>
        <v>0</v>
      </c>
      <c r="M22" s="22">
        <f t="shared" si="2"/>
        <v>0</v>
      </c>
      <c r="O22" s="1"/>
    </row>
    <row r="23" spans="1:15" ht="15">
      <c r="A23" s="20" t="s">
        <v>240</v>
      </c>
      <c r="B23" s="22">
        <v>2037</v>
      </c>
      <c r="C23" s="22"/>
      <c r="D23" s="23">
        <v>102.89131024596611</v>
      </c>
      <c r="E23" s="23">
        <v>348.23923680507932</v>
      </c>
      <c r="F23" s="23">
        <v>109.58124696443615</v>
      </c>
      <c r="G23" s="24"/>
      <c r="H23" s="23">
        <v>0</v>
      </c>
      <c r="I23" s="23">
        <f t="shared" si="0"/>
        <v>-354.92917352354937</v>
      </c>
      <c r="J23" s="25">
        <f>PCMC</f>
        <v>0.13150621833256565</v>
      </c>
      <c r="K23" s="25">
        <f>PCMC</f>
        <v>0.13150621833256565</v>
      </c>
      <c r="L23" s="34">
        <f t="shared" si="1"/>
        <v>0</v>
      </c>
      <c r="M23" s="22">
        <f t="shared" si="2"/>
        <v>0</v>
      </c>
      <c r="O23" s="1"/>
    </row>
    <row r="24" spans="1:15" ht="15">
      <c r="A24" s="20" t="s">
        <v>241</v>
      </c>
      <c r="B24" s="22">
        <v>2038</v>
      </c>
      <c r="C24" s="22"/>
      <c r="D24" s="23">
        <v>141.78193127281543</v>
      </c>
      <c r="E24" s="23">
        <v>347.04136228044268</v>
      </c>
      <c r="F24" s="23">
        <v>109.14519887791687</v>
      </c>
      <c r="G24" s="24"/>
      <c r="H24" s="23">
        <v>0</v>
      </c>
      <c r="I24" s="23">
        <f t="shared" si="0"/>
        <v>-314.40462988554413</v>
      </c>
      <c r="J24" s="25">
        <f>PCMC</f>
        <v>0.13150621833256565</v>
      </c>
      <c r="K24" s="25">
        <f>PCMC</f>
        <v>0.13150621833256565</v>
      </c>
      <c r="L24" s="34">
        <f t="shared" si="1"/>
        <v>0</v>
      </c>
      <c r="M24" s="22">
        <f t="shared" si="2"/>
        <v>0</v>
      </c>
      <c r="O24" s="1"/>
    </row>
    <row r="25" spans="1:15" ht="15">
      <c r="A25" s="20" t="s">
        <v>242</v>
      </c>
      <c r="B25" s="22">
        <v>2039</v>
      </c>
      <c r="C25" s="22"/>
      <c r="D25" s="23">
        <v>146.61392536461301</v>
      </c>
      <c r="E25" s="23">
        <v>345.84348775580605</v>
      </c>
      <c r="F25" s="23">
        <v>108.7091507913976</v>
      </c>
      <c r="G25" s="24"/>
      <c r="H25" s="23">
        <v>0</v>
      </c>
      <c r="I25" s="23">
        <f t="shared" si="0"/>
        <v>-307.93871318259062</v>
      </c>
      <c r="J25" s="25">
        <f>PCMC</f>
        <v>0.13150621833256565</v>
      </c>
      <c r="K25" s="25">
        <f>PCMC</f>
        <v>0.13150621833256565</v>
      </c>
      <c r="L25" s="34">
        <f t="shared" si="1"/>
        <v>0</v>
      </c>
      <c r="M25" s="22">
        <f t="shared" si="2"/>
        <v>0</v>
      </c>
      <c r="O25" s="1"/>
    </row>
    <row r="26" spans="1:15" ht="15">
      <c r="A26" s="20" t="s">
        <v>243</v>
      </c>
      <c r="B26" s="22">
        <v>2040</v>
      </c>
      <c r="C26" s="22"/>
      <c r="D26" s="23">
        <v>193.08235000787988</v>
      </c>
      <c r="E26" s="23">
        <v>344.64561323116942</v>
      </c>
      <c r="F26" s="23">
        <v>108.27310270487834</v>
      </c>
      <c r="G26" s="24"/>
      <c r="H26" s="23">
        <v>10.325771244247701</v>
      </c>
      <c r="I26" s="23">
        <f t="shared" si="0"/>
        <v>-259.83636592816788</v>
      </c>
      <c r="J26" s="25">
        <f>PCMC</f>
        <v>0.13150621833256565</v>
      </c>
      <c r="K26" s="25">
        <f>PCMC</f>
        <v>0.13150621833256565</v>
      </c>
      <c r="L26" s="34">
        <f t="shared" si="1"/>
        <v>0</v>
      </c>
      <c r="M26" s="22">
        <f t="shared" si="2"/>
        <v>0</v>
      </c>
      <c r="O26" s="1"/>
    </row>
    <row r="27" spans="1:15" ht="15">
      <c r="A27" s="20" t="s">
        <v>244</v>
      </c>
      <c r="B27" s="22">
        <v>2041</v>
      </c>
      <c r="C27" s="22"/>
      <c r="D27" s="23">
        <v>200.20038717091074</v>
      </c>
      <c r="E27" s="23">
        <v>343.44773870653279</v>
      </c>
      <c r="F27" s="23">
        <v>107.83705461835906</v>
      </c>
      <c r="G27" s="24"/>
      <c r="H27" s="23">
        <v>12.601280785536261</v>
      </c>
      <c r="I27" s="23">
        <f t="shared" si="0"/>
        <v>-251.08440615398109</v>
      </c>
      <c r="J27" s="25">
        <f>PCMC</f>
        <v>0.13150621833256565</v>
      </c>
      <c r="K27" s="25">
        <f>PCMC</f>
        <v>0.13150621833256565</v>
      </c>
      <c r="L27" s="34">
        <f t="shared" si="1"/>
        <v>0</v>
      </c>
      <c r="M27" s="22">
        <f t="shared" si="2"/>
        <v>0</v>
      </c>
      <c r="O27" s="1"/>
    </row>
    <row r="28" spans="1:15" ht="15">
      <c r="A28" s="20" t="s">
        <v>245</v>
      </c>
      <c r="B28" s="22">
        <v>2042</v>
      </c>
      <c r="C28" s="22"/>
      <c r="D28" s="23">
        <v>255.59862512590837</v>
      </c>
      <c r="E28" s="23"/>
      <c r="F28" s="23"/>
      <c r="G28" s="24" cm="1">
        <f t="array" ref="G28:G42">subordinateDebt_35</f>
        <v>21.631298259317219</v>
      </c>
      <c r="H28" s="23">
        <v>39.285642532736176</v>
      </c>
      <c r="I28" s="23">
        <f t="shared" si="0"/>
        <v>233.96732686659115</v>
      </c>
      <c r="J28" s="25">
        <f>PCMC</f>
        <v>0.13150621833256565</v>
      </c>
      <c r="K28" s="25">
        <f>PCMC</f>
        <v>0.13150621833256565</v>
      </c>
      <c r="L28" s="34">
        <f t="shared" si="1"/>
        <v>30.768158369604688</v>
      </c>
      <c r="M28" s="22">
        <f t="shared" si="2"/>
        <v>30.768158369604688</v>
      </c>
      <c r="O28" s="1"/>
    </row>
    <row r="29" spans="1:15" ht="15">
      <c r="A29" s="20" t="s">
        <v>246</v>
      </c>
      <c r="B29" s="22">
        <v>2043</v>
      </c>
      <c r="C29" s="22"/>
      <c r="D29" s="23">
        <v>265.52901651514253</v>
      </c>
      <c r="E29" s="23"/>
      <c r="F29" s="23"/>
      <c r="G29" s="24">
        <v>22.366147222120549</v>
      </c>
      <c r="H29" s="23">
        <v>41.867544293937058</v>
      </c>
      <c r="I29" s="23">
        <f t="shared" si="0"/>
        <v>243.16286929302197</v>
      </c>
      <c r="J29" s="25">
        <f>PCMC</f>
        <v>0.13150621833256565</v>
      </c>
      <c r="K29" s="25">
        <f>PCMC</f>
        <v>0.13150621833256565</v>
      </c>
      <c r="L29" s="34">
        <f t="shared" si="1"/>
        <v>31.97742937962127</v>
      </c>
      <c r="M29" s="22">
        <f t="shared" si="2"/>
        <v>31.97742937962127</v>
      </c>
      <c r="O29" s="1"/>
    </row>
    <row r="30" spans="1:15" ht="15">
      <c r="A30" s="20" t="s">
        <v>247</v>
      </c>
      <c r="B30" s="22">
        <v>2044</v>
      </c>
      <c r="C30" s="22"/>
      <c r="D30" s="23">
        <v>331.43947143510513</v>
      </c>
      <c r="E30" s="23"/>
      <c r="F30" s="23"/>
      <c r="G30" s="24">
        <v>27.243520886197782</v>
      </c>
      <c r="H30" s="23">
        <v>59.004262573127335</v>
      </c>
      <c r="I30" s="23">
        <f t="shared" si="0"/>
        <v>304.19595054890738</v>
      </c>
      <c r="J30" s="25">
        <f>PCMC</f>
        <v>0.13150621833256565</v>
      </c>
      <c r="K30" s="25">
        <f>PCMC</f>
        <v>0.13150621833256565</v>
      </c>
      <c r="L30" s="34">
        <f t="shared" si="1"/>
        <v>40.003659088766959</v>
      </c>
      <c r="M30" s="22">
        <f t="shared" si="2"/>
        <v>40.003659088766959</v>
      </c>
      <c r="O30" s="1"/>
    </row>
    <row r="31" spans="1:15" ht="15">
      <c r="A31" s="20" t="s">
        <v>248</v>
      </c>
      <c r="B31" s="22">
        <v>2045</v>
      </c>
      <c r="C31" s="22"/>
      <c r="D31" s="23">
        <v>344.80970201223045</v>
      </c>
      <c r="E31" s="23"/>
      <c r="F31" s="23"/>
      <c r="G31" s="24">
        <v>28.232917948905051</v>
      </c>
      <c r="H31" s="23">
        <v>62.480522523179921</v>
      </c>
      <c r="I31" s="23">
        <f t="shared" si="0"/>
        <v>316.57678406332542</v>
      </c>
      <c r="J31" s="25">
        <f>PCMC</f>
        <v>0.13150621833256565</v>
      </c>
      <c r="K31" s="25">
        <f>PCMC</f>
        <v>0.13150621833256565</v>
      </c>
      <c r="L31" s="34">
        <f t="shared" si="1"/>
        <v>41.631815684053166</v>
      </c>
      <c r="M31" s="22">
        <f t="shared" si="2"/>
        <v>41.631815684053166</v>
      </c>
      <c r="O31" s="1"/>
    </row>
    <row r="32" spans="1:15" ht="15">
      <c r="A32" s="20" t="s">
        <v>249</v>
      </c>
      <c r="B32" s="22">
        <v>2046</v>
      </c>
      <c r="C32" s="22"/>
      <c r="D32" s="23">
        <v>423.08339903201193</v>
      </c>
      <c r="E32" s="23"/>
      <c r="F32" s="23"/>
      <c r="G32" s="24">
        <v>34.025171528368887</v>
      </c>
      <c r="H32" s="23">
        <v>82.831683748323101</v>
      </c>
      <c r="I32" s="23">
        <f t="shared" si="0"/>
        <v>389.05822750364302</v>
      </c>
      <c r="J32" s="25">
        <f>PCMC</f>
        <v>0.13150621833256565</v>
      </c>
      <c r="K32" s="25">
        <f>PCMC</f>
        <v>0.13150621833256565</v>
      </c>
      <c r="L32" s="34">
        <f t="shared" si="1"/>
        <v>51.16357621017508</v>
      </c>
      <c r="M32" s="22">
        <f t="shared" si="2"/>
        <v>51.16357621017508</v>
      </c>
      <c r="O32" s="1"/>
    </row>
    <row r="33" spans="1:15" ht="15">
      <c r="A33" s="20" t="s">
        <v>250</v>
      </c>
      <c r="B33" s="22">
        <v>2047</v>
      </c>
      <c r="C33" s="22"/>
      <c r="D33" s="23">
        <v>440.64009055484632</v>
      </c>
      <c r="E33" s="23"/>
      <c r="F33" s="23"/>
      <c r="G33" s="24">
        <v>35.324366701058629</v>
      </c>
      <c r="H33" s="23">
        <v>87.396423544260045</v>
      </c>
      <c r="I33" s="23">
        <f t="shared" si="0"/>
        <v>405.31572385378769</v>
      </c>
      <c r="J33" s="25">
        <f>PCMC</f>
        <v>0.13150621833256565</v>
      </c>
      <c r="K33" s="25">
        <f>PCMC</f>
        <v>0.13150621833256565</v>
      </c>
      <c r="L33" s="34">
        <f t="shared" si="1"/>
        <v>53.30153807473809</v>
      </c>
      <c r="M33" s="22">
        <f t="shared" si="2"/>
        <v>53.30153807473809</v>
      </c>
      <c r="O33" s="1"/>
    </row>
    <row r="34" spans="1:15" ht="15">
      <c r="A34" s="20" t="s">
        <v>251</v>
      </c>
      <c r="B34" s="22">
        <v>2048</v>
      </c>
      <c r="C34" s="22"/>
      <c r="D34" s="23">
        <v>533.44114269423358</v>
      </c>
      <c r="E34" s="23"/>
      <c r="F34" s="23"/>
      <c r="G34" s="24">
        <v>42.191644559373287</v>
      </c>
      <c r="H34" s="23">
        <v>111.52469710050073</v>
      </c>
      <c r="I34" s="23">
        <f t="shared" si="0"/>
        <v>491.24949813486029</v>
      </c>
      <c r="J34" s="25">
        <f>PCMC</f>
        <v>0.13150621833256565</v>
      </c>
      <c r="K34" s="25">
        <f>PCMC</f>
        <v>0.13150621833256565</v>
      </c>
      <c r="L34" s="34">
        <f t="shared" si="1"/>
        <v>64.602363757486245</v>
      </c>
      <c r="M34" s="22">
        <f t="shared" si="2"/>
        <v>64.602363757486245</v>
      </c>
      <c r="O34" s="1"/>
    </row>
    <row r="35" spans="1:15" ht="15">
      <c r="A35" s="20" t="s">
        <v>252</v>
      </c>
      <c r="B35" s="22">
        <v>2049</v>
      </c>
      <c r="C35" s="22"/>
      <c r="D35" s="23">
        <v>556.07107306638386</v>
      </c>
      <c r="E35" s="23"/>
      <c r="F35" s="23"/>
      <c r="G35" s="24">
        <v>43.866259406912405</v>
      </c>
      <c r="H35" s="23">
        <v>117.40847899725981</v>
      </c>
      <c r="I35" s="23">
        <f t="shared" si="0"/>
        <v>512.20481365947148</v>
      </c>
      <c r="J35" s="25">
        <f>PCMC</f>
        <v>0.13150621833256565</v>
      </c>
      <c r="K35" s="25">
        <f>PCMC</f>
        <v>0.13150621833256565</v>
      </c>
      <c r="L35" s="34">
        <f t="shared" si="1"/>
        <v>67.358118056093559</v>
      </c>
      <c r="M35" s="22">
        <f t="shared" si="2"/>
        <v>67.358118056093559</v>
      </c>
      <c r="O35" s="1"/>
    </row>
    <row r="36" spans="1:15" ht="15">
      <c r="A36" s="20" t="s">
        <v>253</v>
      </c>
      <c r="B36" s="22">
        <v>2050</v>
      </c>
      <c r="C36" s="22"/>
      <c r="D36" s="23">
        <v>665.92839391688381</v>
      </c>
      <c r="E36" s="23"/>
      <c r="F36" s="23"/>
      <c r="G36" s="24">
        <v>51.995701149849403</v>
      </c>
      <c r="H36" s="23">
        <v>145.97138241838979</v>
      </c>
      <c r="I36" s="23">
        <f t="shared" si="0"/>
        <v>613.93269276703438</v>
      </c>
      <c r="J36" s="25">
        <f>PCMC</f>
        <v>0.13150621833256565</v>
      </c>
      <c r="K36" s="25">
        <f>PCMC</f>
        <v>0.13150621833256565</v>
      </c>
      <c r="L36" s="34">
        <f t="shared" si="1"/>
        <v>80.735966736521576</v>
      </c>
      <c r="M36" s="22">
        <f t="shared" si="2"/>
        <v>80.735966736521576</v>
      </c>
      <c r="O36" s="1"/>
    </row>
    <row r="37" spans="1:15" ht="15">
      <c r="A37" s="20" t="s">
        <v>254</v>
      </c>
      <c r="B37" s="22">
        <v>2051</v>
      </c>
      <c r="C37" s="22"/>
      <c r="D37" s="23">
        <v>694.68307998231398</v>
      </c>
      <c r="E37" s="23"/>
      <c r="F37" s="23"/>
      <c r="G37" s="24">
        <v>54.123547918691237</v>
      </c>
      <c r="H37" s="23">
        <v>153.44760079540166</v>
      </c>
      <c r="I37" s="23">
        <f t="shared" si="0"/>
        <v>640.55953206362278</v>
      </c>
      <c r="J37" s="25">
        <f>PCMC</f>
        <v>0.13150621833256565</v>
      </c>
      <c r="K37" s="25">
        <f>PCMC</f>
        <v>0.13150621833256565</v>
      </c>
      <c r="L37" s="34">
        <f t="shared" si="1"/>
        <v>84.237561678564859</v>
      </c>
      <c r="M37" s="22">
        <f t="shared" si="2"/>
        <v>84.237561678564859</v>
      </c>
      <c r="O37" s="1"/>
    </row>
    <row r="38" spans="1:15" ht="15">
      <c r="A38" s="20" t="s">
        <v>255</v>
      </c>
      <c r="B38" s="22">
        <v>2052</v>
      </c>
      <c r="C38" s="22"/>
      <c r="D38" s="23">
        <v>824.55051159794994</v>
      </c>
      <c r="E38" s="23"/>
      <c r="F38" s="23"/>
      <c r="G38" s="24">
        <v>62.745737858248305</v>
      </c>
      <c r="H38" s="23">
        <v>197.093133015467</v>
      </c>
      <c r="I38" s="23">
        <f t="shared" si="0"/>
        <v>761.80477373970166</v>
      </c>
      <c r="J38" s="25">
        <f>PCMC</f>
        <v>0.13150621833256565</v>
      </c>
      <c r="K38" s="25">
        <f>PCMC</f>
        <v>0.13150621833256565</v>
      </c>
      <c r="L38" s="34">
        <f t="shared" si="1"/>
        <v>100.18206490220398</v>
      </c>
      <c r="M38" s="22">
        <f t="shared" si="2"/>
        <v>100.18206490220398</v>
      </c>
      <c r="N38" t="s">
        <v>256</v>
      </c>
      <c r="O38" s="1"/>
    </row>
    <row r="39" spans="1:15" ht="15">
      <c r="A39" s="20" t="s">
        <v>257</v>
      </c>
      <c r="B39" s="22">
        <v>2053</v>
      </c>
      <c r="C39" s="22"/>
      <c r="D39" s="23">
        <v>860.67494527071358</v>
      </c>
      <c r="E39" s="23"/>
      <c r="F39" s="23"/>
      <c r="G39" s="24">
        <v>65.418945950032807</v>
      </c>
      <c r="H39" s="23">
        <v>206.48548577038554</v>
      </c>
      <c r="I39" s="23">
        <f t="shared" si="0"/>
        <v>795.25599932068076</v>
      </c>
      <c r="J39" s="25">
        <f>PCMC</f>
        <v>0.13150621833256565</v>
      </c>
      <c r="K39" s="25">
        <f>PCMC</f>
        <v>0.13150621833256565</v>
      </c>
      <c r="L39" s="34">
        <f t="shared" si="1"/>
        <v>104.58110907694812</v>
      </c>
      <c r="M39" s="22">
        <f t="shared" si="2"/>
        <v>104.58110907694812</v>
      </c>
      <c r="O39" s="1"/>
    </row>
    <row r="40" spans="1:15" ht="15">
      <c r="A40" s="20" t="s">
        <v>258</v>
      </c>
      <c r="B40" s="22">
        <v>2054</v>
      </c>
      <c r="C40" s="22"/>
      <c r="D40" s="23">
        <v>1014.0011574710534</v>
      </c>
      <c r="E40" s="23"/>
      <c r="F40" s="23"/>
      <c r="G40" s="24">
        <v>76.765085652857948</v>
      </c>
      <c r="H40" s="23">
        <v>246.35030094247389</v>
      </c>
      <c r="I40" s="23">
        <f t="shared" si="0"/>
        <v>937.23607181819546</v>
      </c>
      <c r="J40" s="25">
        <f>PCMC</f>
        <v>0.13150621833256565</v>
      </c>
      <c r="K40" s="25">
        <f>PCMC</f>
        <v>0.13150621833256565</v>
      </c>
      <c r="L40" s="34">
        <f t="shared" si="1"/>
        <v>123.25237148967979</v>
      </c>
      <c r="M40" s="22">
        <f t="shared" si="2"/>
        <v>123.25237148967979</v>
      </c>
      <c r="O40" s="1"/>
    </row>
    <row r="41" spans="1:15" ht="15">
      <c r="A41" s="20" t="s">
        <v>259</v>
      </c>
      <c r="B41" s="22">
        <v>2055</v>
      </c>
      <c r="C41" s="22"/>
      <c r="D41" s="23">
        <v>1058.9673812777503</v>
      </c>
      <c r="E41" s="23"/>
      <c r="F41" s="23"/>
      <c r="G41" s="24">
        <v>80.092586214553535</v>
      </c>
      <c r="H41" s="23">
        <v>258.04151913221506</v>
      </c>
      <c r="I41" s="23">
        <f t="shared" si="0"/>
        <v>978.87479506319676</v>
      </c>
      <c r="J41" s="25">
        <f>PCMC</f>
        <v>0.13150621833256565</v>
      </c>
      <c r="K41" s="25">
        <f>PCMC</f>
        <v>0.13150621833256565</v>
      </c>
      <c r="L41" s="34">
        <f t="shared" si="1"/>
        <v>128.7281225198262</v>
      </c>
      <c r="M41" s="22">
        <f t="shared" si="2"/>
        <v>128.7281225198262</v>
      </c>
      <c r="O41" s="1"/>
    </row>
    <row r="42" spans="1:15" ht="15">
      <c r="A42" s="20" t="s">
        <v>260</v>
      </c>
      <c r="B42" s="22">
        <v>2056</v>
      </c>
      <c r="C42" s="22"/>
      <c r="D42" s="23">
        <v>1239.777115728376</v>
      </c>
      <c r="E42" s="23"/>
      <c r="F42" s="23"/>
      <c r="G42" s="24">
        <v>93.472506563899827</v>
      </c>
      <c r="H42" s="23">
        <v>305.05205008937776</v>
      </c>
      <c r="I42" s="23">
        <f t="shared" si="0"/>
        <v>1146.3046091644762</v>
      </c>
      <c r="J42" s="25">
        <f>PCMC</f>
        <v>0.13150621833256565</v>
      </c>
      <c r="K42" s="25">
        <f>PCMC</f>
        <v>0.13150621833256565</v>
      </c>
      <c r="L42" s="34">
        <f t="shared" si="1"/>
        <v>150.74618420840994</v>
      </c>
      <c r="M42" s="22">
        <f t="shared" si="2"/>
        <v>150.74618420840994</v>
      </c>
      <c r="O42" s="1"/>
    </row>
    <row r="44" spans="1:15">
      <c r="N44" s="35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DCC9-9051-43B0-A342-1B78A1C172C0}">
  <dimension ref="A1:O67"/>
  <sheetViews>
    <sheetView topLeftCell="A26" zoomScale="90" zoomScaleNormal="90" workbookViewId="0">
      <selection activeCell="A2" sqref="A2"/>
    </sheetView>
  </sheetViews>
  <sheetFormatPr defaultRowHeight="14.45"/>
  <cols>
    <col min="4" max="4" width="20" bestFit="1" customWidth="1"/>
    <col min="5" max="5" width="12.7109375" bestFit="1" customWidth="1"/>
    <col min="6" max="6" width="9.7109375" bestFit="1" customWidth="1"/>
    <col min="7" max="7" width="8.85546875"/>
    <col min="8" max="8" width="16.7109375" customWidth="1"/>
    <col min="9" max="9" width="15" bestFit="1" customWidth="1"/>
    <col min="10" max="10" width="15.7109375" bestFit="1" customWidth="1"/>
    <col min="11" max="11" width="22.28515625" customWidth="1"/>
    <col min="13" max="13" width="13.7109375" bestFit="1" customWidth="1"/>
    <col min="14" max="14" width="17.42578125" customWidth="1"/>
  </cols>
  <sheetData>
    <row r="1" spans="1:15" ht="15">
      <c r="A1" s="21" t="s">
        <v>54</v>
      </c>
      <c r="B1" s="21"/>
      <c r="C1" s="21" t="s">
        <v>33</v>
      </c>
      <c r="D1" s="21" t="s">
        <v>261</v>
      </c>
      <c r="E1" s="21" t="s">
        <v>262</v>
      </c>
      <c r="F1" s="21" t="s">
        <v>263</v>
      </c>
      <c r="G1" s="21" t="s">
        <v>57</v>
      </c>
      <c r="H1" s="21" t="s">
        <v>32</v>
      </c>
      <c r="I1" s="21" t="s">
        <v>264</v>
      </c>
      <c r="J1" s="21" t="s">
        <v>265</v>
      </c>
      <c r="K1" s="21" t="s">
        <v>266</v>
      </c>
      <c r="L1" s="21" t="s">
        <v>267</v>
      </c>
      <c r="M1" s="21" t="s">
        <v>268</v>
      </c>
      <c r="N1" s="21" t="s">
        <v>269</v>
      </c>
      <c r="O1" s="21" t="s">
        <v>270</v>
      </c>
    </row>
    <row r="2" spans="1:15" ht="14.45" customHeight="1">
      <c r="A2" s="20" t="s">
        <v>271</v>
      </c>
      <c r="B2" s="22">
        <v>2016</v>
      </c>
      <c r="C2" s="22">
        <v>-5</v>
      </c>
      <c r="D2" s="23" cm="1">
        <f t="array" ref="D2:D7">Total_Construction_cost</f>
        <v>571</v>
      </c>
      <c r="E2" s="23"/>
      <c r="F2" s="23"/>
      <c r="G2" s="24"/>
      <c r="H2" s="23"/>
      <c r="I2" s="23"/>
      <c r="J2" s="25"/>
      <c r="K2" s="25">
        <f>MAX(-D2+E2-F2-H2-I2-J2,0)</f>
        <v>0</v>
      </c>
      <c r="L2" s="22">
        <f>IF(K2&gt;0,K2*Tax_rate,0)</f>
        <v>0</v>
      </c>
      <c r="M2" s="22">
        <f>K2-L2</f>
        <v>0</v>
      </c>
      <c r="N2" s="20" cm="1">
        <f t="array" ref="N2:N42">Subordinate_debt_payment</f>
        <v>0</v>
      </c>
      <c r="O2" s="22"/>
    </row>
    <row r="3" spans="1:15" ht="15">
      <c r="A3" s="20"/>
      <c r="B3" s="22">
        <v>2017</v>
      </c>
      <c r="C3" s="22">
        <v>-4</v>
      </c>
      <c r="D3" s="23">
        <v>1814.9920199999999</v>
      </c>
      <c r="E3" s="23"/>
      <c r="F3" s="23"/>
      <c r="G3" s="24"/>
      <c r="H3" s="23"/>
      <c r="I3" s="23"/>
      <c r="J3" s="25"/>
      <c r="K3" s="25">
        <f>MAX(-D3+E3-F3-H3-I3-J3,0)</f>
        <v>0</v>
      </c>
      <c r="L3" s="22">
        <f>IF(K3&gt;0,K3*Tax_rate,0)</f>
        <v>0</v>
      </c>
      <c r="M3" s="22">
        <f t="shared" ref="M3:M7" si="0">K3-L3</f>
        <v>0</v>
      </c>
      <c r="N3" s="20">
        <v>0</v>
      </c>
      <c r="O3" s="22"/>
    </row>
    <row r="4" spans="1:15" ht="15">
      <c r="A4" s="20"/>
      <c r="B4" s="22">
        <v>2018</v>
      </c>
      <c r="C4" s="22">
        <v>-3</v>
      </c>
      <c r="D4" s="23">
        <v>2564.0755264943996</v>
      </c>
      <c r="E4" s="23"/>
      <c r="F4" s="23"/>
      <c r="G4" s="24"/>
      <c r="H4" s="23"/>
      <c r="I4" s="23"/>
      <c r="J4" s="25"/>
      <c r="K4" s="25">
        <f>MAX(-D4+E4-F4-H4-I4-J4,0)</f>
        <v>0</v>
      </c>
      <c r="L4" s="22">
        <f>IF(K4&gt;0,K4*Tax_rate,0)</f>
        <v>0</v>
      </c>
      <c r="M4" s="22">
        <f t="shared" si="0"/>
        <v>0</v>
      </c>
      <c r="N4" s="20">
        <v>0</v>
      </c>
      <c r="O4" s="22"/>
    </row>
    <row r="5" spans="1:15" ht="15">
      <c r="A5" s="20"/>
      <c r="B5" s="22">
        <v>2019</v>
      </c>
      <c r="C5" s="22">
        <v>-2</v>
      </c>
      <c r="D5" s="23">
        <v>3395.9257291773451</v>
      </c>
      <c r="E5" s="23"/>
      <c r="F5" s="23"/>
      <c r="G5" s="24"/>
      <c r="H5" s="23"/>
      <c r="I5" s="23"/>
      <c r="J5" s="25"/>
      <c r="K5" s="25">
        <f>MAX(-D5+E5-F5-H5-I5-J5,0)</f>
        <v>0</v>
      </c>
      <c r="L5" s="22">
        <f>IF(K5&gt;0,K5*Tax_rate,0)</f>
        <v>0</v>
      </c>
      <c r="M5" s="22">
        <f t="shared" si="0"/>
        <v>0</v>
      </c>
      <c r="N5" s="20">
        <v>0</v>
      </c>
      <c r="O5" s="22"/>
    </row>
    <row r="6" spans="1:15" ht="15">
      <c r="A6" s="20"/>
      <c r="B6" s="22">
        <v>2020</v>
      </c>
      <c r="C6" s="22">
        <v>-1</v>
      </c>
      <c r="D6" s="23">
        <v>3598.1191470925637</v>
      </c>
      <c r="E6" s="23"/>
      <c r="F6" s="23"/>
      <c r="G6" s="24"/>
      <c r="H6" s="23"/>
      <c r="I6" s="23"/>
      <c r="J6" s="25"/>
      <c r="K6" s="25">
        <f>MAX(-D6+E6-F6-H6-I6-J6,0)</f>
        <v>0</v>
      </c>
      <c r="L6" s="22">
        <f>IF(K6&gt;0,K6*Tax_rate,0)</f>
        <v>0</v>
      </c>
      <c r="M6" s="22">
        <f t="shared" si="0"/>
        <v>0</v>
      </c>
      <c r="N6" s="20">
        <v>0</v>
      </c>
      <c r="O6" s="22"/>
    </row>
    <row r="7" spans="1:15" ht="15">
      <c r="A7" s="20"/>
      <c r="B7" s="22">
        <v>2021</v>
      </c>
      <c r="C7" s="22">
        <v>0</v>
      </c>
      <c r="D7" s="23">
        <v>1524.9404644441818</v>
      </c>
      <c r="E7" s="23"/>
      <c r="F7" s="23"/>
      <c r="G7" s="24"/>
      <c r="H7" s="23"/>
      <c r="I7" s="23"/>
      <c r="J7" s="25"/>
      <c r="K7" s="25">
        <f>MAX(-D7+E7-F7-H7-I7-J7,0)</f>
        <v>0</v>
      </c>
      <c r="L7" s="22">
        <f>IF(K7&gt;0,K7*Tax_rate,0)</f>
        <v>0</v>
      </c>
      <c r="M7" s="22">
        <f t="shared" si="0"/>
        <v>0</v>
      </c>
      <c r="N7" s="20">
        <v>0</v>
      </c>
      <c r="O7" s="22"/>
    </row>
    <row r="8" spans="1:15" ht="15">
      <c r="A8" s="20"/>
      <c r="B8" s="22">
        <v>2022</v>
      </c>
      <c r="C8" s="22">
        <v>1</v>
      </c>
      <c r="D8" s="23"/>
      <c r="E8" s="23" cm="1">
        <f t="array" ref="E8:E42">Total_revenue_Crs</f>
        <v>122.64</v>
      </c>
      <c r="F8" s="23" cm="1">
        <f t="array" ref="F8:F42">Total_o_M_cost_Crs</f>
        <v>263.98</v>
      </c>
      <c r="G8" s="24">
        <f>E8-F8</f>
        <v>-141.34000000000003</v>
      </c>
      <c r="H8" s="23" cm="1">
        <f t="array" ref="H8:H67">Tot_Dep_Crs</f>
        <v>279.3</v>
      </c>
      <c r="I8" s="23"/>
      <c r="J8" s="25"/>
      <c r="K8" s="25">
        <f t="shared" ref="K8:K11" si="1">-D8+E8-F8-H8-I8-J8</f>
        <v>-420.64000000000004</v>
      </c>
      <c r="L8" s="22">
        <f>IF(K8&gt;0,K8*Tax_rate,0)</f>
        <v>0</v>
      </c>
      <c r="M8" s="22">
        <f>K8-L8+H8</f>
        <v>-141.34000000000003</v>
      </c>
      <c r="N8" s="20">
        <v>0</v>
      </c>
      <c r="O8" s="22">
        <f>M8-N8</f>
        <v>-141.34000000000003</v>
      </c>
    </row>
    <row r="9" spans="1:15" ht="15">
      <c r="A9" s="20"/>
      <c r="B9" s="22">
        <v>2023</v>
      </c>
      <c r="C9" s="22">
        <v>2</v>
      </c>
      <c r="D9" s="23"/>
      <c r="E9" s="23">
        <v>245.28</v>
      </c>
      <c r="F9" s="23">
        <v>279.80125000000004</v>
      </c>
      <c r="G9" s="24">
        <f t="shared" ref="G9:G67" si="2">E9-F9</f>
        <v>-34.521250000000038</v>
      </c>
      <c r="H9" s="23">
        <v>279.3</v>
      </c>
      <c r="I9" s="23"/>
      <c r="J9" s="25"/>
      <c r="K9" s="25">
        <f t="shared" si="1"/>
        <v>-313.82125000000008</v>
      </c>
      <c r="L9" s="22">
        <f>IF(K9&gt;0,K9*Tax_rate,0)</f>
        <v>0</v>
      </c>
      <c r="M9" s="22">
        <f t="shared" ref="M9:M42" si="3">K9-L9+H9</f>
        <v>-34.521250000000066</v>
      </c>
      <c r="N9" s="20">
        <v>0</v>
      </c>
      <c r="O9" s="22">
        <f t="shared" ref="O9:O67" si="4">M9-N9</f>
        <v>-34.521250000000066</v>
      </c>
    </row>
    <row r="10" spans="1:15" ht="15">
      <c r="A10" s="20"/>
      <c r="B10" s="22">
        <v>2024</v>
      </c>
      <c r="C10" s="22">
        <v>3</v>
      </c>
      <c r="D10" s="23"/>
      <c r="E10" s="23">
        <v>270.4212</v>
      </c>
      <c r="F10" s="23">
        <v>294.73312250000004</v>
      </c>
      <c r="G10" s="24">
        <f t="shared" si="2"/>
        <v>-24.311922500000037</v>
      </c>
      <c r="H10" s="23">
        <v>279.3</v>
      </c>
      <c r="I10" s="23"/>
      <c r="J10" s="25"/>
      <c r="K10" s="25">
        <f t="shared" si="1"/>
        <v>-303.61192250000005</v>
      </c>
      <c r="L10" s="22">
        <f>IF(K10&gt;0,K10*Tax_rate,0)</f>
        <v>0</v>
      </c>
      <c r="M10" s="22">
        <f t="shared" si="3"/>
        <v>-24.311922500000037</v>
      </c>
      <c r="N10" s="20">
        <v>0</v>
      </c>
      <c r="O10" s="22">
        <f t="shared" si="4"/>
        <v>-24.311922500000037</v>
      </c>
    </row>
    <row r="11" spans="1:15" ht="15">
      <c r="A11" s="20"/>
      <c r="B11" s="22">
        <v>2025</v>
      </c>
      <c r="C11" s="22">
        <v>4</v>
      </c>
      <c r="D11" s="23"/>
      <c r="E11" s="23">
        <v>283.94226000000003</v>
      </c>
      <c r="F11" s="23">
        <v>310.46809722500007</v>
      </c>
      <c r="G11" s="24">
        <f t="shared" si="2"/>
        <v>-26.525837225000032</v>
      </c>
      <c r="H11" s="23">
        <v>279.3</v>
      </c>
      <c r="I11" s="23"/>
      <c r="J11" s="25"/>
      <c r="K11" s="25">
        <f t="shared" si="1"/>
        <v>-305.82583722500004</v>
      </c>
      <c r="L11" s="22">
        <f>IF(K11&gt;0,K11*Tax_rate,0)</f>
        <v>0</v>
      </c>
      <c r="M11" s="22">
        <f t="shared" si="3"/>
        <v>-26.525837225000032</v>
      </c>
      <c r="N11" s="20">
        <v>0</v>
      </c>
      <c r="O11" s="22">
        <f t="shared" si="4"/>
        <v>-26.525837225000032</v>
      </c>
    </row>
    <row r="12" spans="1:15" ht="15">
      <c r="A12" s="20"/>
      <c r="B12" s="22">
        <v>2026</v>
      </c>
      <c r="C12" s="22">
        <v>5</v>
      </c>
      <c r="D12" s="23"/>
      <c r="E12" s="23">
        <v>313.04634165000004</v>
      </c>
      <c r="F12" s="23">
        <v>327.04971980225002</v>
      </c>
      <c r="G12" s="24">
        <f t="shared" si="2"/>
        <v>-14.003378152249979</v>
      </c>
      <c r="H12" s="23">
        <v>279.3</v>
      </c>
      <c r="I12" s="23" cm="1">
        <f t="array" ref="I12:I27">EIB_interest</f>
        <v>19.165992394186187</v>
      </c>
      <c r="J12" s="25" cm="1">
        <f t="array" ref="J12:J27">AFD_Interest</f>
        <v>6.9767693843083141</v>
      </c>
      <c r="K12" s="25">
        <f>-D12+E12-F12-H12-I12-J12</f>
        <v>-319.44613993074449</v>
      </c>
      <c r="L12" s="22">
        <f>IF(K12&gt;0,K12*Tax_rate,0)</f>
        <v>0</v>
      </c>
      <c r="M12" s="22">
        <f t="shared" si="3"/>
        <v>-40.146139930744482</v>
      </c>
      <c r="N12" s="20">
        <v>0</v>
      </c>
      <c r="O12" s="22">
        <f t="shared" si="4"/>
        <v>-40.146139930744482</v>
      </c>
    </row>
    <row r="13" spans="1:15" ht="15">
      <c r="A13" s="20"/>
      <c r="B13" s="22">
        <v>2027</v>
      </c>
      <c r="C13" s="22">
        <v>6</v>
      </c>
      <c r="D13" s="23"/>
      <c r="E13" s="23">
        <v>328.69865873250006</v>
      </c>
      <c r="F13" s="23">
        <v>344.52391657132256</v>
      </c>
      <c r="G13" s="24">
        <f t="shared" si="2"/>
        <v>-15.825257838822495</v>
      </c>
      <c r="H13" s="23">
        <v>279.3</v>
      </c>
      <c r="I13" s="23">
        <v>17.968117869549548</v>
      </c>
      <c r="J13" s="25">
        <v>6.5407212977890437</v>
      </c>
      <c r="K13" s="25">
        <f t="shared" ref="K13:K67" si="5">-D13+E13-F13-H13-I13-J13</f>
        <v>-319.63409700616108</v>
      </c>
      <c r="L13" s="22">
        <f>IF(K13&gt;0,K13*Tax_rate,0)</f>
        <v>0</v>
      </c>
      <c r="M13" s="22">
        <f t="shared" si="3"/>
        <v>-40.334097006161073</v>
      </c>
      <c r="N13" s="20">
        <v>0</v>
      </c>
      <c r="O13" s="22">
        <f t="shared" si="4"/>
        <v>-40.334097006161073</v>
      </c>
    </row>
    <row r="14" spans="1:15" ht="15">
      <c r="A14" s="20"/>
      <c r="B14" s="22">
        <v>2028</v>
      </c>
      <c r="C14" s="22">
        <v>7</v>
      </c>
      <c r="D14" s="23"/>
      <c r="E14" s="23">
        <v>362.39027125258133</v>
      </c>
      <c r="F14" s="23">
        <v>362.9391258255863</v>
      </c>
      <c r="G14" s="24">
        <f t="shared" si="2"/>
        <v>-0.54885457300497364</v>
      </c>
      <c r="H14" s="23">
        <v>279.3</v>
      </c>
      <c r="I14" s="23">
        <v>16.77024334491291</v>
      </c>
      <c r="J14" s="25">
        <v>6.1046732112697741</v>
      </c>
      <c r="K14" s="25">
        <f t="shared" si="5"/>
        <v>-302.72377112918764</v>
      </c>
      <c r="L14" s="22">
        <f>IF(K14&gt;0,K14*Tax_rate,0)</f>
        <v>0</v>
      </c>
      <c r="M14" s="22">
        <f t="shared" si="3"/>
        <v>-23.423771129187628</v>
      </c>
      <c r="N14" s="20">
        <v>0</v>
      </c>
      <c r="O14" s="22">
        <f t="shared" si="4"/>
        <v>-23.423771129187628</v>
      </c>
    </row>
    <row r="15" spans="1:15" ht="15">
      <c r="A15" s="20"/>
      <c r="B15" s="22">
        <v>2029</v>
      </c>
      <c r="C15" s="22">
        <v>8</v>
      </c>
      <c r="D15" s="23"/>
      <c r="E15" s="23">
        <v>380.50978481521031</v>
      </c>
      <c r="F15" s="23">
        <v>382.3464363481051</v>
      </c>
      <c r="G15" s="24">
        <f t="shared" si="2"/>
        <v>-1.8366515328947912</v>
      </c>
      <c r="H15" s="23">
        <v>279.3</v>
      </c>
      <c r="I15" s="23">
        <v>15.572368820276271</v>
      </c>
      <c r="J15" s="25">
        <v>5.6686251247505046</v>
      </c>
      <c r="K15" s="25">
        <f t="shared" si="5"/>
        <v>-302.37764547792159</v>
      </c>
      <c r="L15" s="22">
        <f>IF(K15&gt;0,K15*Tax_rate,0)</f>
        <v>0</v>
      </c>
      <c r="M15" s="22">
        <f t="shared" si="3"/>
        <v>-23.077645477921578</v>
      </c>
      <c r="N15" s="20">
        <v>0</v>
      </c>
      <c r="O15" s="22">
        <f t="shared" si="4"/>
        <v>-23.077645477921578</v>
      </c>
    </row>
    <row r="16" spans="1:15" ht="15">
      <c r="A16" s="20"/>
      <c r="B16" s="22">
        <v>2030</v>
      </c>
      <c r="C16" s="22">
        <v>9</v>
      </c>
      <c r="D16" s="23"/>
      <c r="E16" s="23">
        <v>419.51203775876934</v>
      </c>
      <c r="F16" s="23">
        <v>402.79973365062426</v>
      </c>
      <c r="G16" s="24">
        <f t="shared" si="2"/>
        <v>16.712304108145076</v>
      </c>
      <c r="H16" s="23">
        <v>279.3</v>
      </c>
      <c r="I16" s="23">
        <v>14.374494295639634</v>
      </c>
      <c r="J16" s="25">
        <v>5.2325770382312351</v>
      </c>
      <c r="K16" s="25">
        <f t="shared" si="5"/>
        <v>-282.1947672257258</v>
      </c>
      <c r="L16" s="22">
        <f>IF(K16&gt;0,K16*Tax_rate,0)</f>
        <v>0</v>
      </c>
      <c r="M16" s="22">
        <f t="shared" si="3"/>
        <v>-2.8947672257257864</v>
      </c>
      <c r="N16" s="20">
        <v>0</v>
      </c>
      <c r="O16" s="22">
        <f t="shared" si="4"/>
        <v>-2.8947672257257864</v>
      </c>
    </row>
    <row r="17" spans="1:15" ht="15">
      <c r="A17" s="20"/>
      <c r="B17" s="22">
        <v>2031</v>
      </c>
      <c r="C17" s="22">
        <v>10</v>
      </c>
      <c r="D17" s="23"/>
      <c r="E17" s="23">
        <v>440.48763964670781</v>
      </c>
      <c r="F17" s="23">
        <v>424.35585434737607</v>
      </c>
      <c r="G17" s="24">
        <f t="shared" si="2"/>
        <v>16.131785299331739</v>
      </c>
      <c r="H17" s="23">
        <v>279.3</v>
      </c>
      <c r="I17" s="23">
        <v>13.176619771002997</v>
      </c>
      <c r="J17" s="25">
        <v>4.7965289517119656</v>
      </c>
      <c r="K17" s="25">
        <f t="shared" si="5"/>
        <v>-281.14136342338327</v>
      </c>
      <c r="L17" s="22">
        <f>IF(K17&gt;0,K17*Tax_rate,0)</f>
        <v>0</v>
      </c>
      <c r="M17" s="22">
        <f t="shared" si="3"/>
        <v>-1.8413634233832568</v>
      </c>
      <c r="N17" s="20">
        <v>0</v>
      </c>
      <c r="O17" s="22">
        <f t="shared" si="4"/>
        <v>-1.8413634233832568</v>
      </c>
    </row>
    <row r="18" spans="1:15" ht="15">
      <c r="A18" s="20"/>
      <c r="B18" s="22">
        <v>2032</v>
      </c>
      <c r="C18" s="22">
        <v>11</v>
      </c>
      <c r="D18" s="23"/>
      <c r="E18" s="23">
        <v>485.63762271049552</v>
      </c>
      <c r="F18" s="23">
        <v>447.07474911981882</v>
      </c>
      <c r="G18" s="24">
        <f t="shared" si="2"/>
        <v>38.562873590676702</v>
      </c>
      <c r="H18" s="23">
        <v>279.3</v>
      </c>
      <c r="I18" s="23">
        <v>11.97874524636636</v>
      </c>
      <c r="J18" s="25">
        <v>4.3604808651926961</v>
      </c>
      <c r="K18" s="25">
        <f t="shared" si="5"/>
        <v>-257.07635252088238</v>
      </c>
      <c r="L18" s="22">
        <f>IF(K18&gt;0,K18*Tax_rate,0)</f>
        <v>0</v>
      </c>
      <c r="M18" s="22">
        <f t="shared" si="3"/>
        <v>22.223647479117631</v>
      </c>
      <c r="N18" s="20">
        <v>0</v>
      </c>
      <c r="O18" s="22">
        <f t="shared" si="4"/>
        <v>22.223647479117631</v>
      </c>
    </row>
    <row r="19" spans="1:15" ht="15">
      <c r="A19" s="20"/>
      <c r="B19" s="22">
        <v>2033</v>
      </c>
      <c r="C19" s="22">
        <v>12</v>
      </c>
      <c r="D19" s="23"/>
      <c r="E19" s="23">
        <v>509.91950384602029</v>
      </c>
      <c r="F19" s="23">
        <v>471.0196547541882</v>
      </c>
      <c r="G19" s="24">
        <f t="shared" si="2"/>
        <v>38.899849091832095</v>
      </c>
      <c r="H19" s="23">
        <v>279.3</v>
      </c>
      <c r="I19" s="23">
        <v>10.780870721729725</v>
      </c>
      <c r="J19" s="25">
        <v>3.9244327786734261</v>
      </c>
      <c r="K19" s="25">
        <f t="shared" si="5"/>
        <v>-255.10545440857106</v>
      </c>
      <c r="L19" s="22">
        <f>IF(K19&gt;0,K19*Tax_rate,0)</f>
        <v>0</v>
      </c>
      <c r="M19" s="22">
        <f t="shared" si="3"/>
        <v>24.194545591428948</v>
      </c>
      <c r="N19" s="20">
        <v>0</v>
      </c>
      <c r="O19" s="22">
        <f t="shared" si="4"/>
        <v>24.194545591428948</v>
      </c>
    </row>
    <row r="20" spans="1:15" ht="15">
      <c r="A20" s="20"/>
      <c r="B20" s="22">
        <v>2034</v>
      </c>
      <c r="C20" s="22">
        <v>13</v>
      </c>
      <c r="D20" s="23"/>
      <c r="E20" s="23">
        <v>562.18625299023734</v>
      </c>
      <c r="F20" s="23">
        <v>496.25727576097859</v>
      </c>
      <c r="G20" s="24">
        <f t="shared" si="2"/>
        <v>65.928977229258749</v>
      </c>
      <c r="H20" s="23">
        <v>279.3</v>
      </c>
      <c r="I20" s="23">
        <v>9.5829961970930881</v>
      </c>
      <c r="J20" s="25">
        <v>3.4883846921541566</v>
      </c>
      <c r="K20" s="25">
        <f t="shared" si="5"/>
        <v>-226.44240365998851</v>
      </c>
      <c r="L20" s="22">
        <f>IF(K20&gt;0,K20*Tax_rate,0)</f>
        <v>0</v>
      </c>
      <c r="M20" s="22">
        <f t="shared" si="3"/>
        <v>52.857596340011497</v>
      </c>
      <c r="N20" s="20">
        <v>0</v>
      </c>
      <c r="O20" s="22">
        <f t="shared" si="4"/>
        <v>52.857596340011497</v>
      </c>
    </row>
    <row r="21" spans="1:15" ht="15">
      <c r="A21" s="20"/>
      <c r="B21" s="22">
        <v>2035</v>
      </c>
      <c r="C21" s="22">
        <v>14</v>
      </c>
      <c r="D21" s="23"/>
      <c r="E21" s="23">
        <v>590.29556563974916</v>
      </c>
      <c r="F21" s="23">
        <v>522.85797611425346</v>
      </c>
      <c r="G21" s="24">
        <f t="shared" si="2"/>
        <v>67.437589525495696</v>
      </c>
      <c r="H21" s="23">
        <v>279.3</v>
      </c>
      <c r="I21" s="23">
        <v>8.3851216724564512</v>
      </c>
      <c r="J21" s="25">
        <v>3.0523366056348866</v>
      </c>
      <c r="K21" s="25">
        <f t="shared" si="5"/>
        <v>-223.29986875259564</v>
      </c>
      <c r="L21" s="22">
        <f>IF(K21&gt;0,K21*Tax_rate,0)</f>
        <v>0</v>
      </c>
      <c r="M21" s="22">
        <f t="shared" si="3"/>
        <v>56.000131247404369</v>
      </c>
      <c r="N21" s="20">
        <v>0</v>
      </c>
      <c r="O21" s="22">
        <f t="shared" si="4"/>
        <v>56.000131247404369</v>
      </c>
    </row>
    <row r="22" spans="1:15" ht="15">
      <c r="A22" s="20"/>
      <c r="B22" s="22">
        <v>2036</v>
      </c>
      <c r="C22" s="22">
        <v>15</v>
      </c>
      <c r="D22" s="23"/>
      <c r="E22" s="23">
        <v>650.80086111782373</v>
      </c>
      <c r="F22" s="23">
        <v>550.8959816791056</v>
      </c>
      <c r="G22" s="24">
        <f t="shared" si="2"/>
        <v>99.904879438718126</v>
      </c>
      <c r="H22" s="23">
        <v>279.3</v>
      </c>
      <c r="I22" s="23">
        <v>7.1872471478198152</v>
      </c>
      <c r="J22" s="25">
        <v>2.6162885191156171</v>
      </c>
      <c r="K22" s="25">
        <f t="shared" si="5"/>
        <v>-189.19865622821732</v>
      </c>
      <c r="L22" s="22">
        <f>IF(K22&gt;0,K22*Tax_rate,0)</f>
        <v>0</v>
      </c>
      <c r="M22" s="22">
        <f t="shared" si="3"/>
        <v>90.101343771782695</v>
      </c>
      <c r="N22" s="20">
        <v>0</v>
      </c>
      <c r="O22" s="22">
        <f t="shared" si="4"/>
        <v>90.101343771782695</v>
      </c>
    </row>
    <row r="23" spans="1:15" ht="15">
      <c r="A23" s="20"/>
      <c r="B23" s="22">
        <v>2037</v>
      </c>
      <c r="C23" s="22">
        <v>16</v>
      </c>
      <c r="D23" s="23"/>
      <c r="E23" s="23">
        <v>683.34090417371488</v>
      </c>
      <c r="F23" s="23">
        <v>580.44959392774877</v>
      </c>
      <c r="G23" s="24">
        <f t="shared" si="2"/>
        <v>102.89131024596611</v>
      </c>
      <c r="H23" s="23">
        <v>150.1</v>
      </c>
      <c r="I23" s="23">
        <v>5.9893726231831783</v>
      </c>
      <c r="J23" s="25">
        <v>2.1802404325963476</v>
      </c>
      <c r="K23" s="25">
        <f t="shared" si="5"/>
        <v>-55.378302809813412</v>
      </c>
      <c r="L23" s="22">
        <f>IF(K23&gt;0,K23*Tax_rate,0)</f>
        <v>0</v>
      </c>
      <c r="M23" s="22">
        <f t="shared" si="3"/>
        <v>94.721697190186575</v>
      </c>
      <c r="N23" s="20">
        <v>0</v>
      </c>
      <c r="O23" s="22">
        <f t="shared" si="4"/>
        <v>94.721697190186575</v>
      </c>
    </row>
    <row r="24" spans="1:15" ht="15">
      <c r="A24" s="20"/>
      <c r="B24" s="22">
        <v>2038</v>
      </c>
      <c r="C24" s="22">
        <v>17</v>
      </c>
      <c r="D24" s="23"/>
      <c r="E24" s="23">
        <v>753.38334685152063</v>
      </c>
      <c r="F24" s="23">
        <v>611.6014155787052</v>
      </c>
      <c r="G24" s="24">
        <f t="shared" si="2"/>
        <v>141.78193127281543</v>
      </c>
      <c r="H24" s="23">
        <v>150.1</v>
      </c>
      <c r="I24" s="23">
        <v>4.7914980985465423</v>
      </c>
      <c r="J24" s="25">
        <v>1.7441923460770776</v>
      </c>
      <c r="K24" s="25">
        <f t="shared" si="5"/>
        <v>-14.853759171808187</v>
      </c>
      <c r="L24" s="22">
        <f>IF(K24&gt;0,K24*Tax_rate,0)</f>
        <v>0</v>
      </c>
      <c r="M24" s="22">
        <f t="shared" si="3"/>
        <v>135.24624082819182</v>
      </c>
      <c r="N24" s="20">
        <v>0</v>
      </c>
      <c r="O24" s="22">
        <f t="shared" si="4"/>
        <v>135.24624082819182</v>
      </c>
    </row>
    <row r="25" spans="1:15" ht="15">
      <c r="A25" s="20"/>
      <c r="B25" s="22">
        <v>2039</v>
      </c>
      <c r="C25" s="22">
        <v>18</v>
      </c>
      <c r="D25" s="23"/>
      <c r="E25" s="23">
        <v>791.05251419409672</v>
      </c>
      <c r="F25" s="23">
        <v>644.43858882948371</v>
      </c>
      <c r="G25" s="24">
        <f t="shared" si="2"/>
        <v>146.61392536461301</v>
      </c>
      <c r="H25" s="23">
        <v>150.1</v>
      </c>
      <c r="I25" s="23">
        <v>3.5936235739099058</v>
      </c>
      <c r="J25" s="25">
        <v>1.3081442595578081</v>
      </c>
      <c r="K25" s="25">
        <f t="shared" si="5"/>
        <v>-8.3878424688546982</v>
      </c>
      <c r="L25" s="22">
        <f>IF(K25&gt;0,K25*Tax_rate,0)</f>
        <v>0</v>
      </c>
      <c r="M25" s="22">
        <f t="shared" si="3"/>
        <v>141.71215753114529</v>
      </c>
      <c r="N25" s="20">
        <v>0</v>
      </c>
      <c r="O25" s="22">
        <f t="shared" si="4"/>
        <v>141.71215753114529</v>
      </c>
    </row>
    <row r="26" spans="1:15" ht="15">
      <c r="A26" s="20"/>
      <c r="B26" s="22">
        <v>2040</v>
      </c>
      <c r="C26" s="22">
        <v>19</v>
      </c>
      <c r="D26" s="23"/>
      <c r="E26" s="23">
        <v>872.13539689899164</v>
      </c>
      <c r="F26" s="23">
        <v>679.05304689111176</v>
      </c>
      <c r="G26" s="24">
        <f t="shared" si="2"/>
        <v>193.08235000787988</v>
      </c>
      <c r="H26" s="23">
        <v>150.1</v>
      </c>
      <c r="I26" s="23">
        <v>2.3957490492732694</v>
      </c>
      <c r="J26" s="25">
        <v>0.87209617303853837</v>
      </c>
      <c r="K26" s="25">
        <f t="shared" si="5"/>
        <v>39.714504785568082</v>
      </c>
      <c r="L26" s="22">
        <f>IF(K26&gt;0,K26*Tax_rate,0)</f>
        <v>10.325771244247701</v>
      </c>
      <c r="M26" s="22">
        <f t="shared" si="3"/>
        <v>179.48873354132039</v>
      </c>
      <c r="N26" s="20">
        <v>0</v>
      </c>
      <c r="O26" s="22">
        <f t="shared" si="4"/>
        <v>179.48873354132039</v>
      </c>
    </row>
    <row r="27" spans="1:15" ht="15">
      <c r="A27" s="20"/>
      <c r="B27" s="22">
        <v>2041</v>
      </c>
      <c r="C27" s="22">
        <v>20</v>
      </c>
      <c r="D27" s="23"/>
      <c r="E27" s="23">
        <v>915.7421667439412</v>
      </c>
      <c r="F27" s="23">
        <v>715.54177957303045</v>
      </c>
      <c r="G27" s="24">
        <f t="shared" si="2"/>
        <v>200.20038717091074</v>
      </c>
      <c r="H27" s="23">
        <v>150.1</v>
      </c>
      <c r="I27" s="23">
        <v>1.1978745246366329</v>
      </c>
      <c r="J27" s="25">
        <v>0.4360480865192688</v>
      </c>
      <c r="K27" s="25">
        <f t="shared" si="5"/>
        <v>48.466464559754847</v>
      </c>
      <c r="L27" s="22">
        <f>IF(K27&gt;0,K27*Tax_rate,0)</f>
        <v>12.601280785536261</v>
      </c>
      <c r="M27" s="22">
        <f t="shared" si="3"/>
        <v>185.96518377421859</v>
      </c>
      <c r="N27" s="20">
        <v>0</v>
      </c>
      <c r="O27" s="22">
        <f t="shared" si="4"/>
        <v>185.96518377421859</v>
      </c>
    </row>
    <row r="28" spans="1:15" ht="15">
      <c r="A28" s="20"/>
      <c r="B28" s="22">
        <v>2042</v>
      </c>
      <c r="C28" s="22">
        <v>21</v>
      </c>
      <c r="D28" s="23"/>
      <c r="E28" s="23">
        <v>1009.6057388351952</v>
      </c>
      <c r="F28" s="23">
        <v>754.00711370928684</v>
      </c>
      <c r="G28" s="24">
        <f t="shared" si="2"/>
        <v>255.59862512590837</v>
      </c>
      <c r="H28" s="23">
        <v>104.5</v>
      </c>
      <c r="I28" s="23"/>
      <c r="J28" s="25"/>
      <c r="K28" s="25">
        <f t="shared" si="5"/>
        <v>151.09862512590837</v>
      </c>
      <c r="L28" s="22">
        <f>IF(K28&gt;0,K28*Tax_rate,0)</f>
        <v>39.285642532736176</v>
      </c>
      <c r="M28" s="22">
        <f t="shared" si="3"/>
        <v>216.31298259317219</v>
      </c>
      <c r="N28" s="20">
        <v>21.631298259317219</v>
      </c>
      <c r="O28" s="22">
        <f t="shared" si="4"/>
        <v>194.68168433385497</v>
      </c>
    </row>
    <row r="29" spans="1:15" ht="15">
      <c r="A29" s="20"/>
      <c r="B29" s="22">
        <v>2043</v>
      </c>
      <c r="C29" s="22">
        <v>22</v>
      </c>
      <c r="D29" s="23"/>
      <c r="E29" s="23">
        <v>1060.0860257769548</v>
      </c>
      <c r="F29" s="23">
        <v>794.55700926181225</v>
      </c>
      <c r="G29" s="24">
        <f t="shared" si="2"/>
        <v>265.52901651514253</v>
      </c>
      <c r="H29" s="23">
        <v>104.5</v>
      </c>
      <c r="I29" s="23"/>
      <c r="J29" s="25"/>
      <c r="K29" s="25">
        <f t="shared" si="5"/>
        <v>161.02901651514253</v>
      </c>
      <c r="L29" s="22">
        <f>IF(K29&gt;0,K29*Tax_rate,0)</f>
        <v>41.867544293937058</v>
      </c>
      <c r="M29" s="22">
        <f t="shared" si="3"/>
        <v>223.66147222120549</v>
      </c>
      <c r="N29" s="20">
        <v>22.366147222120549</v>
      </c>
      <c r="O29" s="22">
        <f t="shared" si="4"/>
        <v>201.29532499908493</v>
      </c>
    </row>
    <row r="30" spans="1:15" ht="15">
      <c r="A30" s="20"/>
      <c r="B30" s="22">
        <v>2044</v>
      </c>
      <c r="C30" s="22">
        <v>23</v>
      </c>
      <c r="D30" s="23"/>
      <c r="E30" s="23">
        <v>1168.7448434190928</v>
      </c>
      <c r="F30" s="23">
        <v>837.3053719839877</v>
      </c>
      <c r="G30" s="24">
        <f t="shared" si="2"/>
        <v>331.43947143510513</v>
      </c>
      <c r="H30" s="23">
        <v>104.5</v>
      </c>
      <c r="I30" s="23"/>
      <c r="J30" s="25"/>
      <c r="K30" s="25">
        <f t="shared" si="5"/>
        <v>226.93947143510513</v>
      </c>
      <c r="L30" s="22">
        <f>IF(K30&gt;0,K30*Tax_rate,0)</f>
        <v>59.004262573127335</v>
      </c>
      <c r="M30" s="22">
        <f t="shared" si="3"/>
        <v>272.4352088619778</v>
      </c>
      <c r="N30" s="20">
        <v>27.243520886197782</v>
      </c>
      <c r="O30" s="22">
        <f t="shared" si="4"/>
        <v>245.19168797578001</v>
      </c>
    </row>
    <row r="31" spans="1:15" ht="15">
      <c r="A31" s="20"/>
      <c r="B31" s="22">
        <v>2045</v>
      </c>
      <c r="C31" s="22">
        <v>24</v>
      </c>
      <c r="D31" s="23"/>
      <c r="E31" s="23">
        <v>1227.1820855900476</v>
      </c>
      <c r="F31" s="23">
        <v>882.37238357781712</v>
      </c>
      <c r="G31" s="24">
        <f t="shared" si="2"/>
        <v>344.80970201223045</v>
      </c>
      <c r="H31" s="23">
        <v>104.5</v>
      </c>
      <c r="I31" s="23"/>
      <c r="J31" s="25"/>
      <c r="K31" s="25">
        <f t="shared" si="5"/>
        <v>240.30970201223045</v>
      </c>
      <c r="L31" s="22">
        <f>IF(K31&gt;0,K31*Tax_rate,0)</f>
        <v>62.480522523179921</v>
      </c>
      <c r="M31" s="22">
        <f t="shared" si="3"/>
        <v>282.32917948905049</v>
      </c>
      <c r="N31" s="20">
        <v>28.232917948905051</v>
      </c>
      <c r="O31" s="22">
        <f t="shared" si="4"/>
        <v>254.09626154014543</v>
      </c>
    </row>
    <row r="32" spans="1:15" ht="15">
      <c r="A32" s="20"/>
      <c r="B32" s="22">
        <v>2046</v>
      </c>
      <c r="C32" s="22">
        <v>25</v>
      </c>
      <c r="D32" s="23"/>
      <c r="E32" s="23">
        <v>1352.9682493630276</v>
      </c>
      <c r="F32" s="23">
        <v>929.88485033101563</v>
      </c>
      <c r="G32" s="24">
        <f t="shared" si="2"/>
        <v>423.08339903201193</v>
      </c>
      <c r="H32" s="23">
        <v>104.5</v>
      </c>
      <c r="I32" s="23"/>
      <c r="J32" s="25"/>
      <c r="K32" s="25">
        <f t="shared" si="5"/>
        <v>318.58339903201193</v>
      </c>
      <c r="L32" s="22">
        <f>IF(K32&gt;0,K32*Tax_rate,0)</f>
        <v>82.831683748323101</v>
      </c>
      <c r="M32" s="22">
        <f t="shared" si="3"/>
        <v>340.25171528368884</v>
      </c>
      <c r="N32" s="20">
        <v>34.025171528368887</v>
      </c>
      <c r="O32" s="22">
        <f t="shared" si="4"/>
        <v>306.22654375531994</v>
      </c>
    </row>
    <row r="33" spans="1:15" ht="15">
      <c r="A33" s="20"/>
      <c r="B33" s="22">
        <v>2047</v>
      </c>
      <c r="C33" s="22">
        <v>26</v>
      </c>
      <c r="D33" s="23"/>
      <c r="E33" s="23">
        <v>1420.6166618311788</v>
      </c>
      <c r="F33" s="23">
        <v>979.97657127633249</v>
      </c>
      <c r="G33" s="24">
        <f t="shared" si="2"/>
        <v>440.64009055484632</v>
      </c>
      <c r="H33" s="23">
        <v>104.5</v>
      </c>
      <c r="I33" s="23"/>
      <c r="J33" s="25"/>
      <c r="K33" s="25">
        <f t="shared" si="5"/>
        <v>336.14009055484632</v>
      </c>
      <c r="L33" s="22">
        <f>IF(K33&gt;0,K33*Tax_rate,0)</f>
        <v>87.396423544260045</v>
      </c>
      <c r="M33" s="22">
        <f t="shared" si="3"/>
        <v>353.24366701058625</v>
      </c>
      <c r="N33" s="20">
        <v>35.324366701058629</v>
      </c>
      <c r="O33" s="22">
        <f t="shared" si="4"/>
        <v>317.91930030952761</v>
      </c>
    </row>
    <row r="34" spans="1:15" ht="15">
      <c r="A34" s="20"/>
      <c r="B34" s="22">
        <v>2048</v>
      </c>
      <c r="C34" s="22">
        <v>27</v>
      </c>
      <c r="D34" s="23"/>
      <c r="E34" s="23">
        <v>1566.2298696688749</v>
      </c>
      <c r="F34" s="23">
        <v>1032.7887269746413</v>
      </c>
      <c r="G34" s="24">
        <f t="shared" si="2"/>
        <v>533.44114269423358</v>
      </c>
      <c r="H34" s="23">
        <v>104.5</v>
      </c>
      <c r="I34" s="23"/>
      <c r="J34" s="25"/>
      <c r="K34" s="25">
        <f t="shared" si="5"/>
        <v>428.94114269423358</v>
      </c>
      <c r="L34" s="22">
        <f>IF(K34&gt;0,K34*Tax_rate,0)</f>
        <v>111.52469710050073</v>
      </c>
      <c r="M34" s="22">
        <f t="shared" si="3"/>
        <v>421.91644559373287</v>
      </c>
      <c r="N34" s="20">
        <v>42.191644559373287</v>
      </c>
      <c r="O34" s="22">
        <f t="shared" si="4"/>
        <v>379.72480103435959</v>
      </c>
    </row>
    <row r="35" spans="1:15" ht="15">
      <c r="A35" s="20"/>
      <c r="B35" s="22">
        <v>2049</v>
      </c>
      <c r="C35" s="22">
        <v>28</v>
      </c>
      <c r="D35" s="23"/>
      <c r="E35" s="23">
        <v>1644.541363152319</v>
      </c>
      <c r="F35" s="23">
        <v>1088.4702900859352</v>
      </c>
      <c r="G35" s="24">
        <f t="shared" si="2"/>
        <v>556.07107306638386</v>
      </c>
      <c r="H35" s="23">
        <v>104.5</v>
      </c>
      <c r="I35" s="23"/>
      <c r="J35" s="25"/>
      <c r="K35" s="25">
        <f t="shared" si="5"/>
        <v>451.57107306638386</v>
      </c>
      <c r="L35" s="22">
        <f>IF(K35&gt;0,K35*Tax_rate,0)</f>
        <v>117.40847899725981</v>
      </c>
      <c r="M35" s="22">
        <f t="shared" si="3"/>
        <v>438.66259406912405</v>
      </c>
      <c r="N35" s="20">
        <v>43.866259406912405</v>
      </c>
      <c r="O35" s="22">
        <f t="shared" si="4"/>
        <v>394.79633466221162</v>
      </c>
    </row>
    <row r="36" spans="1:15" ht="15">
      <c r="A36" s="20"/>
      <c r="B36" s="22">
        <v>2050</v>
      </c>
      <c r="C36" s="22">
        <v>29</v>
      </c>
      <c r="D36" s="23"/>
      <c r="E36" s="23">
        <v>1813.1068528754311</v>
      </c>
      <c r="F36" s="23">
        <v>1147.1784589585473</v>
      </c>
      <c r="G36" s="24">
        <f t="shared" si="2"/>
        <v>665.92839391688381</v>
      </c>
      <c r="H36" s="23">
        <v>104.5</v>
      </c>
      <c r="I36" s="23"/>
      <c r="J36" s="25"/>
      <c r="K36" s="25">
        <f t="shared" si="5"/>
        <v>561.42839391688381</v>
      </c>
      <c r="L36" s="22">
        <f>IF(K36&gt;0,K36*Tax_rate,0)</f>
        <v>145.97138241838979</v>
      </c>
      <c r="M36" s="22">
        <f t="shared" si="3"/>
        <v>519.95701149849401</v>
      </c>
      <c r="N36" s="20">
        <v>51.995701149849403</v>
      </c>
      <c r="O36" s="22">
        <f t="shared" si="4"/>
        <v>467.96131034864459</v>
      </c>
    </row>
    <row r="37" spans="1:15" ht="15">
      <c r="A37" s="20"/>
      <c r="B37" s="22">
        <v>2051</v>
      </c>
      <c r="C37" s="22">
        <v>30</v>
      </c>
      <c r="D37" s="23"/>
      <c r="E37" s="23">
        <v>1903.762195519203</v>
      </c>
      <c r="F37" s="23">
        <v>1209.079115536889</v>
      </c>
      <c r="G37" s="24">
        <f t="shared" si="2"/>
        <v>694.68307998231398</v>
      </c>
      <c r="H37" s="23">
        <v>104.5</v>
      </c>
      <c r="I37" s="23"/>
      <c r="J37" s="25"/>
      <c r="K37" s="25">
        <f t="shared" si="5"/>
        <v>590.18307998231398</v>
      </c>
      <c r="L37" s="22">
        <f>IF(K37&gt;0,K37*Tax_rate,0)</f>
        <v>153.44760079540166</v>
      </c>
      <c r="M37" s="22">
        <f t="shared" si="3"/>
        <v>541.23547918691236</v>
      </c>
      <c r="N37" s="20">
        <v>54.123547918691237</v>
      </c>
      <c r="O37" s="22">
        <f t="shared" si="4"/>
        <v>487.1119312682211</v>
      </c>
    </row>
    <row r="38" spans="1:15" ht="15">
      <c r="A38" s="20"/>
      <c r="B38" s="22">
        <v>2052</v>
      </c>
      <c r="C38" s="22">
        <v>31</v>
      </c>
      <c r="D38" s="23"/>
      <c r="E38" s="23">
        <v>2098.8978205599224</v>
      </c>
      <c r="F38" s="23">
        <v>1274.3473089619724</v>
      </c>
      <c r="G38" s="24">
        <f t="shared" si="2"/>
        <v>824.55051159794994</v>
      </c>
      <c r="H38" s="23">
        <v>66.5</v>
      </c>
      <c r="I38" s="23"/>
      <c r="J38" s="25"/>
      <c r="K38" s="25">
        <f t="shared" si="5"/>
        <v>758.05051159794994</v>
      </c>
      <c r="L38" s="22">
        <f>IF(K38&gt;0,K38*Tax_rate,0)</f>
        <v>197.093133015467</v>
      </c>
      <c r="M38" s="22">
        <f t="shared" si="3"/>
        <v>627.45737858248299</v>
      </c>
      <c r="N38" s="20">
        <v>62.745737858248305</v>
      </c>
      <c r="O38" s="22">
        <f t="shared" si="4"/>
        <v>564.71164072423471</v>
      </c>
    </row>
    <row r="39" spans="1:15" ht="15">
      <c r="A39" s="20"/>
      <c r="B39" s="22">
        <v>2053</v>
      </c>
      <c r="C39" s="22">
        <v>32</v>
      </c>
      <c r="D39" s="23"/>
      <c r="E39" s="23">
        <v>2203.8427115879181</v>
      </c>
      <c r="F39" s="23">
        <v>1343.1677663172045</v>
      </c>
      <c r="G39" s="24">
        <f t="shared" si="2"/>
        <v>860.67494527071358</v>
      </c>
      <c r="H39" s="23">
        <v>66.5</v>
      </c>
      <c r="I39" s="23"/>
      <c r="J39" s="25"/>
      <c r="K39" s="25">
        <f t="shared" si="5"/>
        <v>794.17494527071358</v>
      </c>
      <c r="L39" s="22">
        <f>IF(K39&gt;0,K39*Tax_rate,0)</f>
        <v>206.48548577038554</v>
      </c>
      <c r="M39" s="22">
        <f t="shared" si="3"/>
        <v>654.18945950032798</v>
      </c>
      <c r="N39" s="20">
        <v>65.418945950032807</v>
      </c>
      <c r="O39" s="22">
        <f t="shared" si="4"/>
        <v>588.77051355029516</v>
      </c>
    </row>
    <row r="40" spans="1:15" ht="15">
      <c r="A40" s="20"/>
      <c r="B40" s="22">
        <v>2054</v>
      </c>
      <c r="C40" s="22">
        <v>33</v>
      </c>
      <c r="D40" s="23"/>
      <c r="E40" s="23">
        <v>2429.7365895256798</v>
      </c>
      <c r="F40" s="23">
        <v>1415.7354320546265</v>
      </c>
      <c r="G40" s="24">
        <f t="shared" si="2"/>
        <v>1014.0011574710534</v>
      </c>
      <c r="H40" s="23">
        <v>66.5</v>
      </c>
      <c r="I40" s="23"/>
      <c r="J40" s="25"/>
      <c r="K40" s="25">
        <f t="shared" si="5"/>
        <v>947.50115747105338</v>
      </c>
      <c r="L40" s="22">
        <f>IF(K40&gt;0,K40*Tax_rate,0)</f>
        <v>246.35030094247389</v>
      </c>
      <c r="M40" s="22">
        <f t="shared" si="3"/>
        <v>767.65085652857942</v>
      </c>
      <c r="N40" s="20">
        <v>76.765085652857948</v>
      </c>
      <c r="O40" s="22">
        <f t="shared" si="4"/>
        <v>690.88577087572151</v>
      </c>
    </row>
    <row r="41" spans="1:15" ht="15">
      <c r="A41" s="20"/>
      <c r="B41" s="22">
        <v>2055</v>
      </c>
      <c r="C41" s="22">
        <v>34</v>
      </c>
      <c r="D41" s="23"/>
      <c r="E41" s="23">
        <v>2551.2234190019631</v>
      </c>
      <c r="F41" s="23">
        <v>1492.2560377242128</v>
      </c>
      <c r="G41" s="24">
        <f t="shared" si="2"/>
        <v>1058.9673812777503</v>
      </c>
      <c r="H41" s="23">
        <v>66.5</v>
      </c>
      <c r="I41" s="23"/>
      <c r="J41" s="25"/>
      <c r="K41" s="25">
        <f t="shared" si="5"/>
        <v>992.46738127775029</v>
      </c>
      <c r="L41" s="22">
        <f>IF(K41&gt;0,K41*Tax_rate,0)</f>
        <v>258.04151913221506</v>
      </c>
      <c r="M41" s="22">
        <f t="shared" si="3"/>
        <v>800.92586214553523</v>
      </c>
      <c r="N41" s="20">
        <v>80.092586214553535</v>
      </c>
      <c r="O41" s="22">
        <f t="shared" si="4"/>
        <v>720.8332759309817</v>
      </c>
    </row>
    <row r="42" spans="1:15" ht="15">
      <c r="A42" s="20"/>
      <c r="B42" s="22">
        <v>2056</v>
      </c>
      <c r="C42" s="22">
        <v>35</v>
      </c>
      <c r="D42" s="23"/>
      <c r="E42" s="23">
        <v>2812.7238194496658</v>
      </c>
      <c r="F42" s="23">
        <v>1572.9467037212899</v>
      </c>
      <c r="G42" s="24">
        <f t="shared" si="2"/>
        <v>1239.777115728376</v>
      </c>
      <c r="H42" s="23">
        <v>66.5</v>
      </c>
      <c r="I42" s="23"/>
      <c r="J42" s="25"/>
      <c r="K42" s="25">
        <f t="shared" si="5"/>
        <v>1173.277115728376</v>
      </c>
      <c r="L42" s="22">
        <f>IF(K42&gt;0,K42*Tax_rate,0)</f>
        <v>305.05205008937776</v>
      </c>
      <c r="M42" s="22">
        <f t="shared" si="3"/>
        <v>934.72506563899822</v>
      </c>
      <c r="N42" s="20">
        <v>93.472506563899827</v>
      </c>
      <c r="O42" s="22">
        <f t="shared" si="4"/>
        <v>841.25255907509836</v>
      </c>
    </row>
    <row r="43" spans="1:15">
      <c r="B43" s="9"/>
      <c r="C43" s="9"/>
      <c r="D43" s="9"/>
      <c r="E43" s="9"/>
      <c r="F43" s="9"/>
      <c r="G43" s="9"/>
      <c r="H43" s="9">
        <v>66.5</v>
      </c>
      <c r="I43" s="9"/>
      <c r="J43" s="9"/>
      <c r="K43" s="9"/>
      <c r="L43" s="9"/>
      <c r="M43" s="9"/>
      <c r="N43" s="9"/>
      <c r="O43" s="9">
        <f t="shared" si="4"/>
        <v>0</v>
      </c>
    </row>
    <row r="44" spans="1:15">
      <c r="B44" s="9"/>
      <c r="C44" s="9"/>
      <c r="D44" s="9"/>
      <c r="E44" s="9"/>
      <c r="F44" s="9"/>
      <c r="G44" s="9"/>
      <c r="H44" s="9">
        <v>66.5</v>
      </c>
      <c r="I44" s="9"/>
      <c r="J44" s="9"/>
      <c r="K44" s="9"/>
      <c r="L44" s="9"/>
      <c r="M44" s="9"/>
      <c r="N44" s="9"/>
      <c r="O44" s="9">
        <f t="shared" si="4"/>
        <v>0</v>
      </c>
    </row>
    <row r="45" spans="1:15">
      <c r="B45" s="9"/>
      <c r="C45" s="9"/>
      <c r="D45" s="9"/>
      <c r="E45" s="9"/>
      <c r="F45" s="9"/>
      <c r="G45" s="9"/>
      <c r="H45" s="9">
        <v>66.5</v>
      </c>
      <c r="I45" s="9"/>
      <c r="J45" s="9"/>
      <c r="K45" s="9"/>
      <c r="L45" s="9"/>
      <c r="M45" s="9"/>
      <c r="N45" s="9"/>
      <c r="O45" s="9">
        <f t="shared" si="4"/>
        <v>0</v>
      </c>
    </row>
    <row r="46" spans="1:15">
      <c r="B46" s="9"/>
      <c r="C46" s="9"/>
      <c r="D46" s="9"/>
      <c r="E46" s="9"/>
      <c r="F46" s="9"/>
      <c r="G46" s="9"/>
      <c r="H46" s="9">
        <v>66.5</v>
      </c>
      <c r="I46" s="9"/>
      <c r="J46" s="9"/>
      <c r="K46" s="9"/>
      <c r="L46" s="9"/>
      <c r="M46" s="9"/>
      <c r="N46" s="9"/>
      <c r="O46" s="9">
        <f t="shared" si="4"/>
        <v>0</v>
      </c>
    </row>
    <row r="47" spans="1:15">
      <c r="B47" s="9"/>
      <c r="C47" s="9"/>
      <c r="D47" s="9"/>
      <c r="E47" s="9"/>
      <c r="F47" s="9"/>
      <c r="G47" s="9"/>
      <c r="H47" s="9">
        <v>66.5</v>
      </c>
      <c r="I47" s="9"/>
      <c r="J47" s="9"/>
      <c r="K47" s="9"/>
      <c r="L47" s="9"/>
      <c r="M47" s="9"/>
      <c r="N47" s="9"/>
      <c r="O47" s="9">
        <f t="shared" si="4"/>
        <v>0</v>
      </c>
    </row>
    <row r="48" spans="1:15">
      <c r="B48" s="9"/>
      <c r="C48" s="9"/>
      <c r="D48" s="9"/>
      <c r="E48" s="9"/>
      <c r="F48" s="9"/>
      <c r="G48" s="9"/>
      <c r="H48" s="9">
        <v>66.5</v>
      </c>
      <c r="I48" s="9"/>
      <c r="J48" s="9"/>
      <c r="K48" s="9"/>
      <c r="L48" s="9"/>
      <c r="M48" s="9"/>
      <c r="N48" s="9"/>
      <c r="O48" s="9">
        <f t="shared" si="4"/>
        <v>0</v>
      </c>
    </row>
    <row r="49" spans="2:15">
      <c r="B49" s="9"/>
      <c r="C49" s="9"/>
      <c r="D49" s="9"/>
      <c r="E49" s="9"/>
      <c r="F49" s="9"/>
      <c r="G49" s="9"/>
      <c r="H49" s="9">
        <v>66.5</v>
      </c>
      <c r="I49" s="9"/>
      <c r="J49" s="9"/>
      <c r="K49" s="9"/>
      <c r="L49" s="9"/>
      <c r="M49" s="9"/>
      <c r="N49" s="9"/>
      <c r="O49" s="9">
        <f t="shared" si="4"/>
        <v>0</v>
      </c>
    </row>
    <row r="50" spans="2:15">
      <c r="B50" s="9"/>
      <c r="C50" s="9"/>
      <c r="D50" s="9"/>
      <c r="E50" s="9"/>
      <c r="F50" s="9"/>
      <c r="G50" s="9"/>
      <c r="H50" s="9">
        <v>66.5</v>
      </c>
      <c r="I50" s="9"/>
      <c r="J50" s="9"/>
      <c r="K50" s="9"/>
      <c r="L50" s="9"/>
      <c r="M50" s="9"/>
      <c r="N50" s="9"/>
      <c r="O50" s="9">
        <f t="shared" si="4"/>
        <v>0</v>
      </c>
    </row>
    <row r="51" spans="2:15">
      <c r="B51" s="9"/>
      <c r="C51" s="9"/>
      <c r="D51" s="9"/>
      <c r="E51" s="9"/>
      <c r="F51" s="9"/>
      <c r="G51" s="9"/>
      <c r="H51" s="9">
        <v>66.5</v>
      </c>
      <c r="I51" s="9"/>
      <c r="J51" s="9"/>
      <c r="K51" s="9"/>
      <c r="L51" s="9"/>
      <c r="M51" s="9"/>
      <c r="N51" s="9"/>
      <c r="O51" s="9">
        <f t="shared" si="4"/>
        <v>0</v>
      </c>
    </row>
    <row r="52" spans="2:15">
      <c r="B52" s="9"/>
      <c r="C52" s="9"/>
      <c r="D52" s="9"/>
      <c r="E52" s="9"/>
      <c r="F52" s="9"/>
      <c r="G52" s="9"/>
      <c r="H52" s="9">
        <v>66.5</v>
      </c>
      <c r="I52" s="9"/>
      <c r="J52" s="9"/>
      <c r="K52" s="9"/>
      <c r="L52" s="9"/>
      <c r="M52" s="9"/>
      <c r="N52" s="9"/>
      <c r="O52" s="9">
        <f t="shared" si="4"/>
        <v>0</v>
      </c>
    </row>
    <row r="53" spans="2:15">
      <c r="B53" s="9"/>
      <c r="C53" s="9"/>
      <c r="D53" s="9"/>
      <c r="E53" s="9"/>
      <c r="F53" s="9"/>
      <c r="G53" s="9"/>
      <c r="H53" s="9">
        <v>66.5</v>
      </c>
      <c r="I53" s="9"/>
      <c r="J53" s="9"/>
      <c r="K53" s="9"/>
      <c r="L53" s="9"/>
      <c r="M53" s="9"/>
      <c r="N53" s="9"/>
      <c r="O53" s="9">
        <f t="shared" si="4"/>
        <v>0</v>
      </c>
    </row>
    <row r="54" spans="2:15">
      <c r="B54" s="9"/>
      <c r="C54" s="9"/>
      <c r="D54" s="9"/>
      <c r="E54" s="9"/>
      <c r="F54" s="9"/>
      <c r="G54" s="9"/>
      <c r="H54" s="9">
        <v>66.5</v>
      </c>
      <c r="I54" s="9"/>
      <c r="J54" s="9"/>
      <c r="K54" s="9"/>
      <c r="L54" s="9"/>
      <c r="M54" s="9"/>
      <c r="N54" s="9"/>
      <c r="O54" s="9">
        <f t="shared" si="4"/>
        <v>0</v>
      </c>
    </row>
    <row r="55" spans="2:15">
      <c r="B55" s="9"/>
      <c r="C55" s="9"/>
      <c r="D55" s="9"/>
      <c r="E55" s="9"/>
      <c r="F55" s="9"/>
      <c r="G55" s="9"/>
      <c r="H55" s="9">
        <v>66.5</v>
      </c>
      <c r="I55" s="9"/>
      <c r="J55" s="9"/>
      <c r="K55" s="9"/>
      <c r="L55" s="9"/>
      <c r="M55" s="9"/>
      <c r="N55" s="9"/>
      <c r="O55" s="9">
        <f t="shared" si="4"/>
        <v>0</v>
      </c>
    </row>
    <row r="56" spans="2:15">
      <c r="B56" s="9"/>
      <c r="C56" s="9"/>
      <c r="D56" s="9"/>
      <c r="E56" s="9"/>
      <c r="F56" s="9"/>
      <c r="G56" s="9"/>
      <c r="H56" s="9">
        <v>66.5</v>
      </c>
      <c r="I56" s="9"/>
      <c r="J56" s="9"/>
      <c r="K56" s="9"/>
      <c r="L56" s="9"/>
      <c r="M56" s="9"/>
      <c r="N56" s="9"/>
      <c r="O56" s="9">
        <f t="shared" si="4"/>
        <v>0</v>
      </c>
    </row>
    <row r="57" spans="2:15">
      <c r="B57" s="9"/>
      <c r="C57" s="9"/>
      <c r="D57" s="9"/>
      <c r="E57" s="9"/>
      <c r="F57" s="9"/>
      <c r="G57" s="9"/>
      <c r="H57" s="9">
        <v>66.5</v>
      </c>
      <c r="I57" s="9"/>
      <c r="J57" s="9"/>
      <c r="K57" s="9"/>
      <c r="L57" s="9"/>
      <c r="M57" s="9"/>
      <c r="N57" s="9"/>
      <c r="O57" s="9">
        <f t="shared" si="4"/>
        <v>0</v>
      </c>
    </row>
    <row r="58" spans="2:15">
      <c r="B58" s="9"/>
      <c r="C58" s="9"/>
      <c r="D58" s="9"/>
      <c r="E58" s="9"/>
      <c r="F58" s="9"/>
      <c r="G58" s="9"/>
      <c r="H58" s="9">
        <v>66.5</v>
      </c>
      <c r="I58" s="9"/>
      <c r="J58" s="9"/>
      <c r="K58" s="9"/>
      <c r="L58" s="9"/>
      <c r="M58" s="9"/>
      <c r="N58" s="9"/>
      <c r="O58" s="9">
        <f t="shared" si="4"/>
        <v>0</v>
      </c>
    </row>
    <row r="59" spans="2:15">
      <c r="B59" s="9"/>
      <c r="C59" s="9"/>
      <c r="D59" s="9"/>
      <c r="E59" s="9"/>
      <c r="F59" s="9"/>
      <c r="G59" s="9"/>
      <c r="H59" s="9">
        <v>66.5</v>
      </c>
      <c r="I59" s="9"/>
      <c r="J59" s="9"/>
      <c r="K59" s="9"/>
      <c r="L59" s="9"/>
      <c r="M59" s="9"/>
      <c r="N59" s="9"/>
      <c r="O59" s="9">
        <f t="shared" si="4"/>
        <v>0</v>
      </c>
    </row>
    <row r="60" spans="2:15">
      <c r="B60" s="9"/>
      <c r="C60" s="9"/>
      <c r="D60" s="9"/>
      <c r="E60" s="9"/>
      <c r="F60" s="9"/>
      <c r="G60" s="9"/>
      <c r="H60" s="9">
        <v>66.5</v>
      </c>
      <c r="I60" s="9"/>
      <c r="J60" s="9"/>
      <c r="K60" s="9"/>
      <c r="L60" s="9"/>
      <c r="M60" s="9"/>
      <c r="N60" s="9"/>
      <c r="O60" s="9">
        <f t="shared" si="4"/>
        <v>0</v>
      </c>
    </row>
    <row r="61" spans="2:15">
      <c r="H61">
        <v>66.5</v>
      </c>
      <c r="O61">
        <f t="shared" si="4"/>
        <v>0</v>
      </c>
    </row>
    <row r="62" spans="2:15">
      <c r="H62">
        <v>66.5</v>
      </c>
      <c r="O62">
        <f t="shared" si="4"/>
        <v>0</v>
      </c>
    </row>
    <row r="63" spans="2:15">
      <c r="H63">
        <v>66.5</v>
      </c>
      <c r="O63">
        <f t="shared" si="4"/>
        <v>0</v>
      </c>
    </row>
    <row r="64" spans="2:15">
      <c r="H64">
        <v>66.5</v>
      </c>
      <c r="O64">
        <f t="shared" si="4"/>
        <v>0</v>
      </c>
    </row>
    <row r="65" spans="8:15">
      <c r="H65">
        <v>66.5</v>
      </c>
      <c r="O65">
        <f t="shared" si="4"/>
        <v>0</v>
      </c>
    </row>
    <row r="66" spans="8:15">
      <c r="H66">
        <v>66.5</v>
      </c>
      <c r="O66">
        <f t="shared" si="4"/>
        <v>0</v>
      </c>
    </row>
    <row r="67" spans="8:15">
      <c r="H67">
        <v>66.5</v>
      </c>
      <c r="O67">
        <f t="shared" si="4"/>
        <v>0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F3BE1-7A78-4DBF-94C2-B831D3CDE116}">
  <dimension ref="A1:M42"/>
  <sheetViews>
    <sheetView workbookViewId="0">
      <selection activeCell="L28" sqref="L28"/>
    </sheetView>
  </sheetViews>
  <sheetFormatPr defaultRowHeight="14.45"/>
  <cols>
    <col min="3" max="3" width="14.7109375" customWidth="1"/>
    <col min="5" max="5" width="17.7109375" customWidth="1"/>
    <col min="6" max="6" width="16.5703125" customWidth="1"/>
    <col min="7" max="8" width="17.5703125" customWidth="1"/>
    <col min="9" max="9" width="16.7109375" customWidth="1"/>
    <col min="11" max="11" width="10.42578125" customWidth="1"/>
    <col min="12" max="12" width="11.5703125" customWidth="1"/>
    <col min="13" max="13" width="13" customWidth="1"/>
  </cols>
  <sheetData>
    <row r="1" spans="1:13" s="1" customFormat="1" ht="15">
      <c r="A1" s="21" t="s">
        <v>198</v>
      </c>
      <c r="B1" s="21" t="s">
        <v>198</v>
      </c>
      <c r="C1" s="21" t="s">
        <v>211</v>
      </c>
      <c r="D1" s="21" t="s">
        <v>57</v>
      </c>
      <c r="E1" s="21" t="s">
        <v>212</v>
      </c>
      <c r="F1" s="21" t="s">
        <v>213</v>
      </c>
      <c r="G1" s="21" t="s">
        <v>214</v>
      </c>
      <c r="H1" s="21" t="s">
        <v>215</v>
      </c>
      <c r="I1" s="21" t="s">
        <v>216</v>
      </c>
      <c r="J1" s="21" t="s">
        <v>272</v>
      </c>
      <c r="K1" s="21" t="s">
        <v>273</v>
      </c>
      <c r="L1" s="21" t="s">
        <v>274</v>
      </c>
      <c r="M1" s="21" t="s">
        <v>275</v>
      </c>
    </row>
    <row r="2" spans="1:13" ht="15">
      <c r="A2" s="20" t="s">
        <v>219</v>
      </c>
      <c r="B2" s="22">
        <v>2016</v>
      </c>
      <c r="C2" s="22"/>
      <c r="D2" s="23" cm="1">
        <f t="array" ref="D2:D42">EBITDA</f>
        <v>0</v>
      </c>
      <c r="E2" s="23"/>
      <c r="F2" s="23"/>
      <c r="G2" s="24"/>
      <c r="H2" s="23" cm="1">
        <f t="array" ref="H2:H42">Tax</f>
        <v>0</v>
      </c>
      <c r="I2" s="23">
        <f>D2-E2-F2-G2</f>
        <v>0</v>
      </c>
      <c r="J2" s="25">
        <f>GoI</f>
        <v>0.36849378166743435</v>
      </c>
      <c r="K2" s="25">
        <f>GoM</f>
        <v>0.36849378166743435</v>
      </c>
      <c r="L2" s="22">
        <f>IF($I2&gt;0,$I2*J2,0)</f>
        <v>0</v>
      </c>
      <c r="M2" s="22">
        <f>IF($I2&gt;0,$I2*K2,0)</f>
        <v>0</v>
      </c>
    </row>
    <row r="3" spans="1:13" ht="15">
      <c r="A3" s="20" t="s">
        <v>220</v>
      </c>
      <c r="B3" s="22">
        <v>2017</v>
      </c>
      <c r="C3" s="22" cm="1">
        <f t="array" ref="C3:C7">Equity_5_yrs</f>
        <v>1462</v>
      </c>
      <c r="D3" s="23">
        <v>0</v>
      </c>
      <c r="E3" s="23"/>
      <c r="F3" s="23"/>
      <c r="G3" s="24"/>
      <c r="H3" s="23">
        <v>0</v>
      </c>
      <c r="I3" s="23">
        <f t="shared" ref="I3:I42" si="0">D3-E3-F3-G3</f>
        <v>0</v>
      </c>
      <c r="J3" s="25">
        <f>GoI</f>
        <v>0.36849378166743435</v>
      </c>
      <c r="K3" s="25">
        <f>GoM</f>
        <v>0.36849378166743435</v>
      </c>
      <c r="L3" s="22">
        <f t="shared" ref="L3:L42" si="1">IF($I3&gt;0,$I3*J3,0)</f>
        <v>0</v>
      </c>
      <c r="M3" s="22">
        <f t="shared" ref="M3:M42" si="2">IF($I3&gt;0,$I3*K3,0)</f>
        <v>0</v>
      </c>
    </row>
    <row r="4" spans="1:13" ht="15">
      <c r="A4" s="20" t="s">
        <v>221</v>
      </c>
      <c r="B4" s="22">
        <v>2018</v>
      </c>
      <c r="C4" s="22">
        <v>320</v>
      </c>
      <c r="D4" s="23">
        <v>0</v>
      </c>
      <c r="E4" s="23"/>
      <c r="F4" s="23"/>
      <c r="G4" s="24"/>
      <c r="H4" s="23">
        <v>0</v>
      </c>
      <c r="I4" s="23">
        <f t="shared" si="0"/>
        <v>0</v>
      </c>
      <c r="J4" s="25">
        <f>GoI</f>
        <v>0.36849378166743435</v>
      </c>
      <c r="K4" s="25">
        <f>GoM</f>
        <v>0.36849378166743435</v>
      </c>
      <c r="L4" s="22">
        <f t="shared" si="1"/>
        <v>0</v>
      </c>
      <c r="M4" s="22">
        <f t="shared" si="2"/>
        <v>0</v>
      </c>
    </row>
    <row r="5" spans="1:13" ht="15">
      <c r="A5" s="20" t="s">
        <v>222</v>
      </c>
      <c r="B5" s="22">
        <v>2019</v>
      </c>
      <c r="C5" s="22">
        <v>960</v>
      </c>
      <c r="D5" s="23">
        <v>0</v>
      </c>
      <c r="E5" s="23"/>
      <c r="F5" s="23"/>
      <c r="G5" s="24"/>
      <c r="H5" s="23">
        <v>0</v>
      </c>
      <c r="I5" s="23">
        <f t="shared" si="0"/>
        <v>0</v>
      </c>
      <c r="J5" s="25">
        <f>GoI</f>
        <v>0.36849378166743435</v>
      </c>
      <c r="K5" s="25">
        <f>GoM</f>
        <v>0.36849378166743435</v>
      </c>
      <c r="L5" s="22">
        <f t="shared" si="1"/>
        <v>0</v>
      </c>
      <c r="M5" s="22">
        <f t="shared" si="2"/>
        <v>0</v>
      </c>
    </row>
    <row r="6" spans="1:13" ht="15">
      <c r="A6" s="20" t="s">
        <v>223</v>
      </c>
      <c r="B6" s="22">
        <v>2020</v>
      </c>
      <c r="C6" s="22">
        <v>960</v>
      </c>
      <c r="D6" s="23">
        <v>0</v>
      </c>
      <c r="E6" s="23"/>
      <c r="F6" s="23"/>
      <c r="G6" s="24"/>
      <c r="H6" s="23">
        <v>0</v>
      </c>
      <c r="I6" s="23">
        <f t="shared" si="0"/>
        <v>0</v>
      </c>
      <c r="J6" s="25">
        <f>GoI</f>
        <v>0.36849378166743435</v>
      </c>
      <c r="K6" s="25">
        <f>GoM</f>
        <v>0.36849378166743435</v>
      </c>
      <c r="L6" s="22">
        <f t="shared" si="1"/>
        <v>0</v>
      </c>
      <c r="M6" s="22">
        <f t="shared" si="2"/>
        <v>0</v>
      </c>
    </row>
    <row r="7" spans="1:13" ht="15">
      <c r="A7" s="20" t="s">
        <v>224</v>
      </c>
      <c r="B7" s="22">
        <v>2021</v>
      </c>
      <c r="C7" s="22">
        <v>640</v>
      </c>
      <c r="D7" s="23">
        <v>0</v>
      </c>
      <c r="E7" s="23"/>
      <c r="F7" s="23"/>
      <c r="G7" s="24"/>
      <c r="H7" s="23">
        <v>0</v>
      </c>
      <c r="I7" s="23">
        <f t="shared" si="0"/>
        <v>0</v>
      </c>
      <c r="J7" s="25">
        <f>GoI</f>
        <v>0.36849378166743435</v>
      </c>
      <c r="K7" s="25">
        <f>GoM</f>
        <v>0.36849378166743435</v>
      </c>
      <c r="L7" s="22">
        <f t="shared" si="1"/>
        <v>0</v>
      </c>
      <c r="M7" s="22">
        <f t="shared" si="2"/>
        <v>0</v>
      </c>
    </row>
    <row r="8" spans="1:13" ht="15">
      <c r="A8" s="20" t="s">
        <v>225</v>
      </c>
      <c r="B8" s="22">
        <v>2022</v>
      </c>
      <c r="C8" s="22"/>
      <c r="D8" s="23">
        <v>-141.34000000000003</v>
      </c>
      <c r="E8" s="23"/>
      <c r="F8" s="23"/>
      <c r="G8" s="24"/>
      <c r="H8" s="23">
        <v>0</v>
      </c>
      <c r="I8" s="23">
        <f t="shared" si="0"/>
        <v>-141.34000000000003</v>
      </c>
      <c r="J8" s="25">
        <f>GoI</f>
        <v>0.36849378166743435</v>
      </c>
      <c r="K8" s="25">
        <f>GoM</f>
        <v>0.36849378166743435</v>
      </c>
      <c r="L8" s="22">
        <f t="shared" si="1"/>
        <v>0</v>
      </c>
      <c r="M8" s="22">
        <f t="shared" si="2"/>
        <v>0</v>
      </c>
    </row>
    <row r="9" spans="1:13" ht="15">
      <c r="A9" s="20" t="s">
        <v>226</v>
      </c>
      <c r="B9" s="22">
        <v>2023</v>
      </c>
      <c r="C9" s="22"/>
      <c r="D9" s="23">
        <v>-34.521250000000038</v>
      </c>
      <c r="E9" s="23"/>
      <c r="F9" s="23"/>
      <c r="G9" s="24"/>
      <c r="H9" s="23">
        <v>0</v>
      </c>
      <c r="I9" s="23">
        <f t="shared" si="0"/>
        <v>-34.521250000000038</v>
      </c>
      <c r="J9" s="25">
        <f>GoI</f>
        <v>0.36849378166743435</v>
      </c>
      <c r="K9" s="25">
        <f>GoM</f>
        <v>0.36849378166743435</v>
      </c>
      <c r="L9" s="22">
        <f t="shared" si="1"/>
        <v>0</v>
      </c>
      <c r="M9" s="22">
        <f t="shared" si="2"/>
        <v>0</v>
      </c>
    </row>
    <row r="10" spans="1:13" ht="15">
      <c r="A10" s="20" t="s">
        <v>227</v>
      </c>
      <c r="B10" s="22">
        <v>2024</v>
      </c>
      <c r="C10" s="22"/>
      <c r="D10" s="23">
        <v>-24.311922500000037</v>
      </c>
      <c r="E10" s="23"/>
      <c r="F10" s="23"/>
      <c r="G10" s="24"/>
      <c r="H10" s="23">
        <v>0</v>
      </c>
      <c r="I10" s="23">
        <f t="shared" si="0"/>
        <v>-24.311922500000037</v>
      </c>
      <c r="J10" s="25">
        <f>GoI</f>
        <v>0.36849378166743435</v>
      </c>
      <c r="K10" s="25">
        <f>GoM</f>
        <v>0.36849378166743435</v>
      </c>
      <c r="L10" s="22">
        <f t="shared" si="1"/>
        <v>0</v>
      </c>
      <c r="M10" s="22">
        <f t="shared" si="2"/>
        <v>0</v>
      </c>
    </row>
    <row r="11" spans="1:13" ht="15">
      <c r="A11" s="20" t="s">
        <v>228</v>
      </c>
      <c r="B11" s="22">
        <v>2025</v>
      </c>
      <c r="C11" s="22"/>
      <c r="D11" s="23">
        <v>-26.525837225000032</v>
      </c>
      <c r="E11" s="23"/>
      <c r="F11" s="23"/>
      <c r="G11" s="24"/>
      <c r="H11" s="23">
        <v>0</v>
      </c>
      <c r="I11" s="23">
        <f t="shared" si="0"/>
        <v>-26.525837225000032</v>
      </c>
      <c r="J11" s="25">
        <f>GoI</f>
        <v>0.36849378166743435</v>
      </c>
      <c r="K11" s="25">
        <f>GoM</f>
        <v>0.36849378166743435</v>
      </c>
      <c r="L11" s="22">
        <f t="shared" si="1"/>
        <v>0</v>
      </c>
      <c r="M11" s="22">
        <f t="shared" si="2"/>
        <v>0</v>
      </c>
    </row>
    <row r="12" spans="1:13" ht="15">
      <c r="A12" s="20" t="s">
        <v>229</v>
      </c>
      <c r="B12" s="22">
        <v>2026</v>
      </c>
      <c r="C12" s="22"/>
      <c r="D12" s="23">
        <v>-14.003378152249979</v>
      </c>
      <c r="E12" s="23" cm="1">
        <f t="array" ref="E12:E27">Debt_service_EIB_yr_5</f>
        <v>361.41585657608232</v>
      </c>
      <c r="F12" s="23" cm="1">
        <f t="array" ref="F12:F27">Debt_service_AFD</f>
        <v>114.37777591614811</v>
      </c>
      <c r="G12" s="24"/>
      <c r="H12" s="23">
        <v>0</v>
      </c>
      <c r="I12" s="23">
        <f t="shared" si="0"/>
        <v>-489.79701064448039</v>
      </c>
      <c r="J12" s="25">
        <f>GoI</f>
        <v>0.36849378166743435</v>
      </c>
      <c r="K12" s="25">
        <f>GoM</f>
        <v>0.36849378166743435</v>
      </c>
      <c r="L12" s="22">
        <f t="shared" si="1"/>
        <v>0</v>
      </c>
      <c r="M12" s="22">
        <f t="shared" si="2"/>
        <v>0</v>
      </c>
    </row>
    <row r="13" spans="1:13" ht="15">
      <c r="A13" s="20" t="s">
        <v>230</v>
      </c>
      <c r="B13" s="22">
        <v>2027</v>
      </c>
      <c r="C13" s="22"/>
      <c r="D13" s="23">
        <v>-15.825257838822495</v>
      </c>
      <c r="E13" s="23">
        <v>360.21798205144569</v>
      </c>
      <c r="F13" s="23">
        <v>113.94172782962885</v>
      </c>
      <c r="G13" s="24"/>
      <c r="H13" s="23">
        <v>0</v>
      </c>
      <c r="I13" s="23">
        <f t="shared" si="0"/>
        <v>-489.98496771989704</v>
      </c>
      <c r="J13" s="25">
        <f>GoI</f>
        <v>0.36849378166743435</v>
      </c>
      <c r="K13" s="25">
        <f>GoM</f>
        <v>0.36849378166743435</v>
      </c>
      <c r="L13" s="22">
        <f t="shared" si="1"/>
        <v>0</v>
      </c>
      <c r="M13" s="22">
        <f t="shared" si="2"/>
        <v>0</v>
      </c>
    </row>
    <row r="14" spans="1:13" ht="15">
      <c r="A14" s="20" t="s">
        <v>231</v>
      </c>
      <c r="B14" s="22">
        <v>2028</v>
      </c>
      <c r="C14" s="22"/>
      <c r="D14" s="23">
        <v>-0.54885457300497364</v>
      </c>
      <c r="E14" s="23">
        <v>359.02010752680906</v>
      </c>
      <c r="F14" s="23">
        <v>113.50567974310957</v>
      </c>
      <c r="G14" s="24"/>
      <c r="H14" s="23">
        <v>0</v>
      </c>
      <c r="I14" s="23">
        <f t="shared" si="0"/>
        <v>-473.0746418429236</v>
      </c>
      <c r="J14" s="25">
        <f>GoI</f>
        <v>0.36849378166743435</v>
      </c>
      <c r="K14" s="25">
        <f>GoM</f>
        <v>0.36849378166743435</v>
      </c>
      <c r="L14" s="22">
        <f t="shared" si="1"/>
        <v>0</v>
      </c>
      <c r="M14" s="22">
        <f t="shared" si="2"/>
        <v>0</v>
      </c>
    </row>
    <row r="15" spans="1:13" ht="15">
      <c r="A15" s="20" t="s">
        <v>232</v>
      </c>
      <c r="B15" s="22">
        <v>2029</v>
      </c>
      <c r="C15" s="22"/>
      <c r="D15" s="23">
        <v>-1.8366515328947912</v>
      </c>
      <c r="E15" s="23">
        <v>357.82223300217242</v>
      </c>
      <c r="F15" s="23">
        <v>113.0696316565903</v>
      </c>
      <c r="G15" s="24"/>
      <c r="H15" s="23">
        <v>0</v>
      </c>
      <c r="I15" s="23">
        <f t="shared" si="0"/>
        <v>-472.72851619165749</v>
      </c>
      <c r="J15" s="25">
        <f>GoI</f>
        <v>0.36849378166743435</v>
      </c>
      <c r="K15" s="25">
        <f>GoM</f>
        <v>0.36849378166743435</v>
      </c>
      <c r="L15" s="22">
        <f t="shared" si="1"/>
        <v>0</v>
      </c>
      <c r="M15" s="22">
        <f t="shared" si="2"/>
        <v>0</v>
      </c>
    </row>
    <row r="16" spans="1:13" ht="15">
      <c r="A16" s="20" t="s">
        <v>233</v>
      </c>
      <c r="B16" s="22">
        <v>2030</v>
      </c>
      <c r="C16" s="22"/>
      <c r="D16" s="23">
        <v>16.712304108145076</v>
      </c>
      <c r="E16" s="23">
        <v>356.62435847753579</v>
      </c>
      <c r="F16" s="23">
        <v>112.63358357007104</v>
      </c>
      <c r="G16" s="24"/>
      <c r="H16" s="23">
        <v>0</v>
      </c>
      <c r="I16" s="23">
        <f t="shared" si="0"/>
        <v>-452.54563793946176</v>
      </c>
      <c r="J16" s="25">
        <f>GoI</f>
        <v>0.36849378166743435</v>
      </c>
      <c r="K16" s="25">
        <f>GoM</f>
        <v>0.36849378166743435</v>
      </c>
      <c r="L16" s="22">
        <f t="shared" si="1"/>
        <v>0</v>
      </c>
      <c r="M16" s="22">
        <f t="shared" si="2"/>
        <v>0</v>
      </c>
    </row>
    <row r="17" spans="1:13" ht="15">
      <c r="A17" s="20" t="s">
        <v>234</v>
      </c>
      <c r="B17" s="22">
        <v>2031</v>
      </c>
      <c r="C17" s="22"/>
      <c r="D17" s="23">
        <v>16.131785299331739</v>
      </c>
      <c r="E17" s="23">
        <v>355.42648395289916</v>
      </c>
      <c r="F17" s="23">
        <v>112.19753548355176</v>
      </c>
      <c r="G17" s="24"/>
      <c r="H17" s="23">
        <v>0</v>
      </c>
      <c r="I17" s="23">
        <f t="shared" si="0"/>
        <v>-451.49223413711917</v>
      </c>
      <c r="J17" s="25">
        <f>GoI</f>
        <v>0.36849378166743435</v>
      </c>
      <c r="K17" s="25">
        <f>GoM</f>
        <v>0.36849378166743435</v>
      </c>
      <c r="L17" s="22">
        <f t="shared" si="1"/>
        <v>0</v>
      </c>
      <c r="M17" s="22">
        <f t="shared" si="2"/>
        <v>0</v>
      </c>
    </row>
    <row r="18" spans="1:13" ht="15">
      <c r="A18" s="20" t="s">
        <v>235</v>
      </c>
      <c r="B18" s="22">
        <v>2032</v>
      </c>
      <c r="C18" s="22"/>
      <c r="D18" s="23">
        <v>38.562873590676702</v>
      </c>
      <c r="E18" s="23">
        <v>354.22860942826253</v>
      </c>
      <c r="F18" s="23">
        <v>111.7614873970325</v>
      </c>
      <c r="G18" s="24"/>
      <c r="H18" s="23">
        <v>0</v>
      </c>
      <c r="I18" s="23">
        <f t="shared" si="0"/>
        <v>-427.42722323461834</v>
      </c>
      <c r="J18" s="25">
        <f>GoI</f>
        <v>0.36849378166743435</v>
      </c>
      <c r="K18" s="25">
        <f>GoM</f>
        <v>0.36849378166743435</v>
      </c>
      <c r="L18" s="22">
        <f t="shared" si="1"/>
        <v>0</v>
      </c>
      <c r="M18" s="22">
        <f t="shared" si="2"/>
        <v>0</v>
      </c>
    </row>
    <row r="19" spans="1:13" ht="15">
      <c r="A19" s="20" t="s">
        <v>236</v>
      </c>
      <c r="B19" s="22">
        <v>2033</v>
      </c>
      <c r="C19" s="22"/>
      <c r="D19" s="23">
        <v>38.899849091832095</v>
      </c>
      <c r="E19" s="23">
        <v>353.0307349036259</v>
      </c>
      <c r="F19" s="23">
        <v>111.32543931051322</v>
      </c>
      <c r="G19" s="24"/>
      <c r="H19" s="23">
        <v>0</v>
      </c>
      <c r="I19" s="23">
        <f t="shared" si="0"/>
        <v>-425.45632512230702</v>
      </c>
      <c r="J19" s="25">
        <f>GoI</f>
        <v>0.36849378166743435</v>
      </c>
      <c r="K19" s="25">
        <f>GoM</f>
        <v>0.36849378166743435</v>
      </c>
      <c r="L19" s="22">
        <f t="shared" si="1"/>
        <v>0</v>
      </c>
      <c r="M19" s="22">
        <f t="shared" si="2"/>
        <v>0</v>
      </c>
    </row>
    <row r="20" spans="1:13" ht="15">
      <c r="A20" s="20" t="s">
        <v>237</v>
      </c>
      <c r="B20" s="22">
        <v>2034</v>
      </c>
      <c r="C20" s="22"/>
      <c r="D20" s="23">
        <v>65.928977229258749</v>
      </c>
      <c r="E20" s="23">
        <v>351.83286037898927</v>
      </c>
      <c r="F20" s="23">
        <v>110.88939122399395</v>
      </c>
      <c r="G20" s="24"/>
      <c r="H20" s="23">
        <v>0</v>
      </c>
      <c r="I20" s="23">
        <f t="shared" si="0"/>
        <v>-396.79327437372444</v>
      </c>
      <c r="J20" s="25">
        <f>GoI</f>
        <v>0.36849378166743435</v>
      </c>
      <c r="K20" s="25">
        <f>GoM</f>
        <v>0.36849378166743435</v>
      </c>
      <c r="L20" s="22">
        <f t="shared" si="1"/>
        <v>0</v>
      </c>
      <c r="M20" s="22">
        <f t="shared" si="2"/>
        <v>0</v>
      </c>
    </row>
    <row r="21" spans="1:13" ht="15">
      <c r="A21" s="20" t="s">
        <v>238</v>
      </c>
      <c r="B21" s="22">
        <v>2035</v>
      </c>
      <c r="C21" s="22"/>
      <c r="D21" s="23">
        <v>67.437589525495696</v>
      </c>
      <c r="E21" s="23">
        <v>350.63498585435264</v>
      </c>
      <c r="F21" s="23">
        <v>110.45334313747469</v>
      </c>
      <c r="G21" s="24"/>
      <c r="H21" s="23">
        <v>0</v>
      </c>
      <c r="I21" s="23">
        <f t="shared" si="0"/>
        <v>-393.65073946633163</v>
      </c>
      <c r="J21" s="25">
        <f>GoI</f>
        <v>0.36849378166743435</v>
      </c>
      <c r="K21" s="25">
        <f>GoM</f>
        <v>0.36849378166743435</v>
      </c>
      <c r="L21" s="22">
        <f t="shared" si="1"/>
        <v>0</v>
      </c>
      <c r="M21" s="22">
        <f t="shared" si="2"/>
        <v>0</v>
      </c>
    </row>
    <row r="22" spans="1:13" ht="15">
      <c r="A22" s="20" t="s">
        <v>239</v>
      </c>
      <c r="B22" s="22">
        <v>2036</v>
      </c>
      <c r="C22" s="22"/>
      <c r="D22" s="23">
        <v>99.904879438718126</v>
      </c>
      <c r="E22" s="23">
        <v>349.43711132971595</v>
      </c>
      <c r="F22" s="23">
        <v>110.01729505095541</v>
      </c>
      <c r="G22" s="24"/>
      <c r="H22" s="23">
        <v>0</v>
      </c>
      <c r="I22" s="23">
        <f t="shared" si="0"/>
        <v>-359.54952694195322</v>
      </c>
      <c r="J22" s="25">
        <f>GoI</f>
        <v>0.36849378166743435</v>
      </c>
      <c r="K22" s="25">
        <f>GoM</f>
        <v>0.36849378166743435</v>
      </c>
      <c r="L22" s="22">
        <f t="shared" si="1"/>
        <v>0</v>
      </c>
      <c r="M22" s="22">
        <f t="shared" si="2"/>
        <v>0</v>
      </c>
    </row>
    <row r="23" spans="1:13" ht="15">
      <c r="A23" s="20" t="s">
        <v>240</v>
      </c>
      <c r="B23" s="22">
        <v>2037</v>
      </c>
      <c r="C23" s="22"/>
      <c r="D23" s="23">
        <v>102.89131024596611</v>
      </c>
      <c r="E23" s="23">
        <v>348.23923680507932</v>
      </c>
      <c r="F23" s="23">
        <v>109.58124696443615</v>
      </c>
      <c r="G23" s="24"/>
      <c r="H23" s="23">
        <v>0</v>
      </c>
      <c r="I23" s="23">
        <f t="shared" si="0"/>
        <v>-354.92917352354937</v>
      </c>
      <c r="J23" s="25">
        <f>GoI</f>
        <v>0.36849378166743435</v>
      </c>
      <c r="K23" s="25">
        <f>GoM</f>
        <v>0.36849378166743435</v>
      </c>
      <c r="L23" s="22">
        <f t="shared" si="1"/>
        <v>0</v>
      </c>
      <c r="M23" s="22">
        <f t="shared" si="2"/>
        <v>0</v>
      </c>
    </row>
    <row r="24" spans="1:13" ht="15">
      <c r="A24" s="20" t="s">
        <v>241</v>
      </c>
      <c r="B24" s="22">
        <v>2038</v>
      </c>
      <c r="C24" s="22"/>
      <c r="D24" s="23">
        <v>141.78193127281543</v>
      </c>
      <c r="E24" s="23">
        <v>347.04136228044268</v>
      </c>
      <c r="F24" s="23">
        <v>109.14519887791687</v>
      </c>
      <c r="G24" s="24"/>
      <c r="H24" s="23">
        <v>0</v>
      </c>
      <c r="I24" s="23">
        <f t="shared" si="0"/>
        <v>-314.40462988554413</v>
      </c>
      <c r="J24" s="25">
        <f>GoI</f>
        <v>0.36849378166743435</v>
      </c>
      <c r="K24" s="25">
        <f>GoM</f>
        <v>0.36849378166743435</v>
      </c>
      <c r="L24" s="22">
        <f t="shared" si="1"/>
        <v>0</v>
      </c>
      <c r="M24" s="22">
        <f t="shared" si="2"/>
        <v>0</v>
      </c>
    </row>
    <row r="25" spans="1:13" ht="15">
      <c r="A25" s="20" t="s">
        <v>242</v>
      </c>
      <c r="B25" s="22">
        <v>2039</v>
      </c>
      <c r="C25" s="22"/>
      <c r="D25" s="23">
        <v>146.61392536461301</v>
      </c>
      <c r="E25" s="23">
        <v>345.84348775580605</v>
      </c>
      <c r="F25" s="23">
        <v>108.7091507913976</v>
      </c>
      <c r="G25" s="24"/>
      <c r="H25" s="23">
        <v>0</v>
      </c>
      <c r="I25" s="23">
        <f t="shared" si="0"/>
        <v>-307.93871318259062</v>
      </c>
      <c r="J25" s="25">
        <f>GoI</f>
        <v>0.36849378166743435</v>
      </c>
      <c r="K25" s="25">
        <f>GoM</f>
        <v>0.36849378166743435</v>
      </c>
      <c r="L25" s="22">
        <f t="shared" si="1"/>
        <v>0</v>
      </c>
      <c r="M25" s="22">
        <f t="shared" si="2"/>
        <v>0</v>
      </c>
    </row>
    <row r="26" spans="1:13" ht="15">
      <c r="A26" s="20" t="s">
        <v>243</v>
      </c>
      <c r="B26" s="22">
        <v>2040</v>
      </c>
      <c r="C26" s="22"/>
      <c r="D26" s="23">
        <v>193.08235000787988</v>
      </c>
      <c r="E26" s="23">
        <v>344.64561323116942</v>
      </c>
      <c r="F26" s="23">
        <v>108.27310270487834</v>
      </c>
      <c r="G26" s="24"/>
      <c r="H26" s="23">
        <v>10.325771244247701</v>
      </c>
      <c r="I26" s="23">
        <f t="shared" si="0"/>
        <v>-259.83636592816788</v>
      </c>
      <c r="J26" s="25">
        <f>GoI</f>
        <v>0.36849378166743435</v>
      </c>
      <c r="K26" s="25">
        <f>GoM</f>
        <v>0.36849378166743435</v>
      </c>
      <c r="L26" s="22">
        <f t="shared" si="1"/>
        <v>0</v>
      </c>
      <c r="M26" s="22">
        <f t="shared" si="2"/>
        <v>0</v>
      </c>
    </row>
    <row r="27" spans="1:13" ht="15">
      <c r="A27" s="20" t="s">
        <v>244</v>
      </c>
      <c r="B27" s="22">
        <v>2041</v>
      </c>
      <c r="C27" s="22"/>
      <c r="D27" s="23">
        <v>200.20038717091074</v>
      </c>
      <c r="E27" s="23">
        <v>343.44773870653279</v>
      </c>
      <c r="F27" s="23">
        <v>107.83705461835906</v>
      </c>
      <c r="G27" s="24"/>
      <c r="H27" s="23">
        <v>12.601280785536261</v>
      </c>
      <c r="I27" s="23">
        <f t="shared" si="0"/>
        <v>-251.08440615398109</v>
      </c>
      <c r="J27" s="25">
        <f>GoI</f>
        <v>0.36849378166743435</v>
      </c>
      <c r="K27" s="25">
        <f>GoM</f>
        <v>0.36849378166743435</v>
      </c>
      <c r="L27" s="22">
        <f t="shared" si="1"/>
        <v>0</v>
      </c>
      <c r="M27" s="22">
        <f t="shared" si="2"/>
        <v>0</v>
      </c>
    </row>
    <row r="28" spans="1:13" ht="15">
      <c r="A28" s="20" t="s">
        <v>245</v>
      </c>
      <c r="B28" s="22">
        <v>2042</v>
      </c>
      <c r="C28" s="22"/>
      <c r="D28" s="23">
        <v>255.59862512590837</v>
      </c>
      <c r="E28" s="23"/>
      <c r="F28" s="23"/>
      <c r="G28" s="24" cm="1">
        <f t="array" ref="G28:G40">Subordinate_yr_21</f>
        <v>21.631298259317219</v>
      </c>
      <c r="H28" s="23">
        <v>39.285642532736176</v>
      </c>
      <c r="I28" s="23">
        <f t="shared" si="0"/>
        <v>233.96732686659115</v>
      </c>
      <c r="J28" s="25">
        <f>GoI</f>
        <v>0.36849378166743435</v>
      </c>
      <c r="K28" s="25">
        <f>GoM</f>
        <v>0.36849378166743435</v>
      </c>
      <c r="L28" s="22">
        <f t="shared" si="1"/>
        <v>86.215505063690884</v>
      </c>
      <c r="M28" s="22">
        <f t="shared" si="2"/>
        <v>86.215505063690884</v>
      </c>
    </row>
    <row r="29" spans="1:13" ht="15">
      <c r="A29" s="20" t="s">
        <v>246</v>
      </c>
      <c r="B29" s="22">
        <v>2043</v>
      </c>
      <c r="C29" s="22"/>
      <c r="D29" s="23">
        <v>265.52901651514253</v>
      </c>
      <c r="E29" s="23"/>
      <c r="F29" s="23"/>
      <c r="G29" s="24">
        <v>22.366147222120549</v>
      </c>
      <c r="H29" s="23">
        <v>41.867544293937058</v>
      </c>
      <c r="I29" s="23">
        <f t="shared" si="0"/>
        <v>243.16286929302197</v>
      </c>
      <c r="J29" s="25">
        <f>GoI</f>
        <v>0.36849378166743435</v>
      </c>
      <c r="K29" s="25">
        <f>GoM</f>
        <v>0.36849378166743435</v>
      </c>
      <c r="L29" s="22">
        <f t="shared" si="1"/>
        <v>89.604005266889715</v>
      </c>
      <c r="M29" s="22">
        <f t="shared" si="2"/>
        <v>89.604005266889715</v>
      </c>
    </row>
    <row r="30" spans="1:13" ht="15">
      <c r="A30" s="20" t="s">
        <v>247</v>
      </c>
      <c r="B30" s="22">
        <v>2044</v>
      </c>
      <c r="C30" s="22"/>
      <c r="D30" s="23">
        <v>331.43947143510513</v>
      </c>
      <c r="E30" s="23"/>
      <c r="F30" s="23"/>
      <c r="G30" s="24">
        <v>27.243520886197782</v>
      </c>
      <c r="H30" s="23">
        <v>59.004262573127335</v>
      </c>
      <c r="I30" s="23">
        <f t="shared" si="0"/>
        <v>304.19595054890738</v>
      </c>
      <c r="J30" s="25">
        <f>GoI</f>
        <v>0.36849378166743435</v>
      </c>
      <c r="K30" s="25">
        <f>GoM</f>
        <v>0.36849378166743435</v>
      </c>
      <c r="L30" s="22">
        <f t="shared" si="1"/>
        <v>112.09431618568674</v>
      </c>
      <c r="M30" s="22">
        <f t="shared" si="2"/>
        <v>112.09431618568674</v>
      </c>
    </row>
    <row r="31" spans="1:13" ht="15">
      <c r="A31" s="20" t="s">
        <v>248</v>
      </c>
      <c r="B31" s="22">
        <v>2045</v>
      </c>
      <c r="C31" s="22"/>
      <c r="D31" s="23">
        <v>344.80970201223045</v>
      </c>
      <c r="E31" s="23"/>
      <c r="F31" s="23"/>
      <c r="G31" s="24">
        <v>28.232917948905051</v>
      </c>
      <c r="H31" s="23">
        <v>62.480522523179921</v>
      </c>
      <c r="I31" s="23">
        <f t="shared" si="0"/>
        <v>316.57678406332542</v>
      </c>
      <c r="J31" s="25">
        <f>GoI</f>
        <v>0.36849378166743435</v>
      </c>
      <c r="K31" s="25">
        <f>GoM</f>
        <v>0.36849378166743435</v>
      </c>
      <c r="L31" s="22">
        <f t="shared" si="1"/>
        <v>116.65657634760954</v>
      </c>
      <c r="M31" s="22">
        <f t="shared" si="2"/>
        <v>116.65657634760954</v>
      </c>
    </row>
    <row r="32" spans="1:13" ht="15">
      <c r="A32" s="20" t="s">
        <v>249</v>
      </c>
      <c r="B32" s="22">
        <v>2046</v>
      </c>
      <c r="C32" s="22"/>
      <c r="D32" s="23">
        <v>423.08339903201193</v>
      </c>
      <c r="E32" s="23"/>
      <c r="F32" s="23"/>
      <c r="G32" s="24">
        <v>34.025171528368887</v>
      </c>
      <c r="H32" s="23">
        <v>82.831683748323101</v>
      </c>
      <c r="I32" s="23">
        <f t="shared" si="0"/>
        <v>389.05822750364302</v>
      </c>
      <c r="J32" s="25">
        <f>GoI</f>
        <v>0.36849378166743435</v>
      </c>
      <c r="K32" s="25">
        <f>GoM</f>
        <v>0.36849378166743435</v>
      </c>
      <c r="L32" s="22">
        <f t="shared" si="1"/>
        <v>143.36553754164643</v>
      </c>
      <c r="M32" s="22">
        <f t="shared" si="2"/>
        <v>143.36553754164643</v>
      </c>
    </row>
    <row r="33" spans="1:13" ht="15">
      <c r="A33" s="20" t="s">
        <v>250</v>
      </c>
      <c r="B33" s="22">
        <v>2047</v>
      </c>
      <c r="C33" s="22"/>
      <c r="D33" s="23">
        <v>440.64009055484632</v>
      </c>
      <c r="E33" s="23"/>
      <c r="F33" s="23"/>
      <c r="G33" s="24">
        <v>35.324366701058629</v>
      </c>
      <c r="H33" s="23">
        <v>87.396423544260045</v>
      </c>
      <c r="I33" s="23">
        <f t="shared" si="0"/>
        <v>405.31572385378769</v>
      </c>
      <c r="J33" s="25">
        <f>GoI</f>
        <v>0.36849378166743435</v>
      </c>
      <c r="K33" s="25">
        <f>GoM</f>
        <v>0.36849378166743435</v>
      </c>
      <c r="L33" s="22">
        <f t="shared" si="1"/>
        <v>149.35632385215575</v>
      </c>
      <c r="M33" s="22">
        <f t="shared" si="2"/>
        <v>149.35632385215575</v>
      </c>
    </row>
    <row r="34" spans="1:13" ht="15">
      <c r="A34" s="20" t="s">
        <v>251</v>
      </c>
      <c r="B34" s="22">
        <v>2048</v>
      </c>
      <c r="C34" s="22"/>
      <c r="D34" s="23">
        <v>533.44114269423358</v>
      </c>
      <c r="E34" s="23"/>
      <c r="F34" s="23"/>
      <c r="G34" s="24">
        <v>42.191644559373287</v>
      </c>
      <c r="H34" s="23">
        <v>111.52469710050073</v>
      </c>
      <c r="I34" s="23">
        <f t="shared" si="0"/>
        <v>491.24949813486029</v>
      </c>
      <c r="J34" s="25">
        <f>GoI</f>
        <v>0.36849378166743435</v>
      </c>
      <c r="K34" s="25">
        <f>GoM</f>
        <v>0.36849378166743435</v>
      </c>
      <c r="L34" s="22">
        <f t="shared" si="1"/>
        <v>181.0223853099439</v>
      </c>
      <c r="M34" s="22">
        <f t="shared" si="2"/>
        <v>181.0223853099439</v>
      </c>
    </row>
    <row r="35" spans="1:13" ht="15">
      <c r="A35" s="20" t="s">
        <v>252</v>
      </c>
      <c r="B35" s="22">
        <v>2049</v>
      </c>
      <c r="C35" s="22"/>
      <c r="D35" s="23">
        <v>556.07107306638386</v>
      </c>
      <c r="E35" s="23"/>
      <c r="F35" s="23"/>
      <c r="G35" s="24">
        <v>43.866259406912405</v>
      </c>
      <c r="H35" s="23">
        <v>117.40847899725981</v>
      </c>
      <c r="I35" s="23">
        <f t="shared" si="0"/>
        <v>512.20481365947148</v>
      </c>
      <c r="J35" s="25">
        <f>GoI</f>
        <v>0.36849378166743435</v>
      </c>
      <c r="K35" s="25">
        <f>GoM</f>
        <v>0.36849378166743435</v>
      </c>
      <c r="L35" s="22">
        <f t="shared" si="1"/>
        <v>188.74428877364218</v>
      </c>
      <c r="M35" s="22">
        <f t="shared" si="2"/>
        <v>188.74428877364218</v>
      </c>
    </row>
    <row r="36" spans="1:13" ht="15">
      <c r="A36" s="20" t="s">
        <v>253</v>
      </c>
      <c r="B36" s="22">
        <v>2050</v>
      </c>
      <c r="C36" s="22"/>
      <c r="D36" s="23">
        <v>665.92839391688381</v>
      </c>
      <c r="E36" s="23"/>
      <c r="F36" s="23"/>
      <c r="G36" s="24">
        <v>51.995701149849403</v>
      </c>
      <c r="H36" s="23">
        <v>145.97138241838979</v>
      </c>
      <c r="I36" s="23">
        <f t="shared" si="0"/>
        <v>613.93269276703438</v>
      </c>
      <c r="J36" s="25">
        <f>GoI</f>
        <v>0.36849378166743435</v>
      </c>
      <c r="K36" s="25">
        <f>GoM</f>
        <v>0.36849378166743435</v>
      </c>
      <c r="L36" s="22">
        <f t="shared" si="1"/>
        <v>226.23037964699563</v>
      </c>
      <c r="M36" s="22">
        <f t="shared" si="2"/>
        <v>226.23037964699563</v>
      </c>
    </row>
    <row r="37" spans="1:13" ht="15">
      <c r="A37" s="20" t="s">
        <v>254</v>
      </c>
      <c r="B37" s="22">
        <v>2051</v>
      </c>
      <c r="C37" s="22"/>
      <c r="D37" s="23">
        <v>694.68307998231398</v>
      </c>
      <c r="E37" s="23"/>
      <c r="F37" s="23"/>
      <c r="G37" s="24">
        <v>54.123547918691237</v>
      </c>
      <c r="H37" s="23">
        <v>153.44760079540166</v>
      </c>
      <c r="I37" s="23">
        <f t="shared" si="0"/>
        <v>640.55953206362278</v>
      </c>
      <c r="J37" s="25">
        <f>GoI</f>
        <v>0.36849378166743435</v>
      </c>
      <c r="K37" s="25">
        <f>GoM</f>
        <v>0.36849378166743435</v>
      </c>
      <c r="L37" s="22">
        <f t="shared" si="1"/>
        <v>236.04220435324652</v>
      </c>
      <c r="M37" s="22">
        <f t="shared" si="2"/>
        <v>236.04220435324652</v>
      </c>
    </row>
    <row r="38" spans="1:13" ht="15">
      <c r="A38" s="20" t="s">
        <v>255</v>
      </c>
      <c r="B38" s="22">
        <v>2052</v>
      </c>
      <c r="C38" s="22"/>
      <c r="D38" s="23">
        <v>824.55051159794994</v>
      </c>
      <c r="E38" s="23"/>
      <c r="F38" s="23"/>
      <c r="G38" s="24">
        <v>62.745737858248305</v>
      </c>
      <c r="H38" s="23">
        <v>197.093133015467</v>
      </c>
      <c r="I38" s="23">
        <f t="shared" si="0"/>
        <v>761.80477373970166</v>
      </c>
      <c r="J38" s="25">
        <f>GoI</f>
        <v>0.36849378166743435</v>
      </c>
      <c r="K38" s="25">
        <f>GoM</f>
        <v>0.36849378166743435</v>
      </c>
      <c r="L38" s="22">
        <f t="shared" si="1"/>
        <v>280.72032196764684</v>
      </c>
      <c r="M38" s="22">
        <f t="shared" si="2"/>
        <v>280.72032196764684</v>
      </c>
    </row>
    <row r="39" spans="1:13" ht="15">
      <c r="A39" s="20" t="s">
        <v>257</v>
      </c>
      <c r="B39" s="22">
        <v>2053</v>
      </c>
      <c r="C39" s="22"/>
      <c r="D39" s="23">
        <v>860.67494527071358</v>
      </c>
      <c r="E39" s="23"/>
      <c r="F39" s="23"/>
      <c r="G39" s="24">
        <v>65.418945950032807</v>
      </c>
      <c r="H39" s="23">
        <v>206.48548577038554</v>
      </c>
      <c r="I39" s="23">
        <f t="shared" si="0"/>
        <v>795.25599932068076</v>
      </c>
      <c r="J39" s="25">
        <f>GoI</f>
        <v>0.36849378166743435</v>
      </c>
      <c r="K39" s="25">
        <f>GoM</f>
        <v>0.36849378166743435</v>
      </c>
      <c r="L39" s="22">
        <f t="shared" si="1"/>
        <v>293.04689058339227</v>
      </c>
      <c r="M39" s="22">
        <f t="shared" si="2"/>
        <v>293.04689058339227</v>
      </c>
    </row>
    <row r="40" spans="1:13" ht="15">
      <c r="A40" s="20" t="s">
        <v>258</v>
      </c>
      <c r="B40" s="22">
        <v>2054</v>
      </c>
      <c r="C40" s="22"/>
      <c r="D40" s="23">
        <v>1014.0011574710534</v>
      </c>
      <c r="E40" s="23"/>
      <c r="F40" s="23"/>
      <c r="G40" s="24">
        <v>76.765085652857948</v>
      </c>
      <c r="H40" s="23">
        <v>246.35030094247389</v>
      </c>
      <c r="I40" s="23">
        <f t="shared" si="0"/>
        <v>937.23607181819546</v>
      </c>
      <c r="J40" s="25">
        <f>GoI</f>
        <v>0.36849378166743435</v>
      </c>
      <c r="K40" s="25">
        <f>GoM</f>
        <v>0.36849378166743435</v>
      </c>
      <c r="L40" s="22">
        <f t="shared" si="1"/>
        <v>345.36566441941795</v>
      </c>
      <c r="M40" s="22">
        <f t="shared" si="2"/>
        <v>345.36566441941795</v>
      </c>
    </row>
    <row r="41" spans="1:13" ht="15">
      <c r="A41" s="20" t="s">
        <v>259</v>
      </c>
      <c r="B41" s="22">
        <v>2055</v>
      </c>
      <c r="C41" s="22"/>
      <c r="D41" s="23">
        <v>1058.9673812777503</v>
      </c>
      <c r="E41" s="23"/>
      <c r="F41" s="23"/>
      <c r="G41" s="24"/>
      <c r="H41" s="23">
        <v>258.04151913221506</v>
      </c>
      <c r="I41" s="23">
        <f t="shared" si="0"/>
        <v>1058.9673812777503</v>
      </c>
      <c r="J41" s="25">
        <f>GoI</f>
        <v>0.36849378166743435</v>
      </c>
      <c r="K41" s="25">
        <f>GoM</f>
        <v>0.36849378166743435</v>
      </c>
      <c r="L41" s="22">
        <f t="shared" si="1"/>
        <v>390.222894989498</v>
      </c>
      <c r="M41" s="22">
        <f t="shared" si="2"/>
        <v>390.222894989498</v>
      </c>
    </row>
    <row r="42" spans="1:13" ht="15">
      <c r="A42" s="20" t="s">
        <v>260</v>
      </c>
      <c r="B42" s="22">
        <v>2056</v>
      </c>
      <c r="C42" s="22"/>
      <c r="D42" s="23">
        <v>1239.777115728376</v>
      </c>
      <c r="E42" s="23"/>
      <c r="F42" s="23"/>
      <c r="G42" s="24"/>
      <c r="H42" s="23">
        <v>305.05205008937776</v>
      </c>
      <c r="I42" s="23">
        <f t="shared" si="0"/>
        <v>1239.777115728376</v>
      </c>
      <c r="J42" s="25">
        <f>GoI</f>
        <v>0.36849378166743435</v>
      </c>
      <c r="K42" s="25">
        <f>GoM</f>
        <v>0.36849378166743435</v>
      </c>
      <c r="L42" s="22">
        <f t="shared" si="1"/>
        <v>456.85015779949367</v>
      </c>
      <c r="M42" s="22">
        <f t="shared" si="2"/>
        <v>456.85015779949367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43FB8-F13B-40C8-A1F8-622BF029FB2B}">
  <dimension ref="A1:B2"/>
  <sheetViews>
    <sheetView workbookViewId="0"/>
  </sheetViews>
  <sheetFormatPr defaultRowHeight="14.45"/>
  <sheetData>
    <row r="1" spans="1:2">
      <c r="A1" t="s">
        <v>276</v>
      </c>
      <c r="B1" t="s">
        <v>277</v>
      </c>
    </row>
    <row r="2" spans="1:2">
      <c r="A2">
        <v>1300</v>
      </c>
      <c r="B2">
        <v>28.5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20E1A00D616641B849828FEE19A898" ma:contentTypeVersion="5" ma:contentTypeDescription="Create a new document." ma:contentTypeScope="" ma:versionID="610c356e83ebc856ce2c3fe66c505075">
  <xsd:schema xmlns:xsd="http://www.w3.org/2001/XMLSchema" xmlns:xs="http://www.w3.org/2001/XMLSchema" xmlns:p="http://schemas.microsoft.com/office/2006/metadata/properties" xmlns:ns3="5f880fc2-611e-4279-bde6-bbbaea0540dc" targetNamespace="http://schemas.microsoft.com/office/2006/metadata/properties" ma:root="true" ma:fieldsID="0f7ca72c919dfac9059f29af3a19f8ed" ns3:_="">
    <xsd:import namespace="5f880fc2-611e-4279-bde6-bbbaea0540d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880fc2-611e-4279-bde6-bbbaea0540d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f880fc2-611e-4279-bde6-bbbaea0540d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A6459B-5FE4-42F3-8252-33A1D820F08D}"/>
</file>

<file path=customXml/itemProps2.xml><?xml version="1.0" encoding="utf-8"?>
<ds:datastoreItem xmlns:ds="http://schemas.openxmlformats.org/officeDocument/2006/customXml" ds:itemID="{F5D6737A-A742-4FB8-AD5B-C5F6609FCD81}"/>
</file>

<file path=customXml/itemProps3.xml><?xml version="1.0" encoding="utf-8"?>
<ds:datastoreItem xmlns:ds="http://schemas.openxmlformats.org/officeDocument/2006/customXml" ds:itemID="{3E80FCC3-74E3-4E48-9E98-729E323A3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Manpreeth M P</dc:creator>
  <cp:keywords/>
  <dc:description/>
  <cp:lastModifiedBy/>
  <cp:revision/>
  <dcterms:created xsi:type="dcterms:W3CDTF">2026-04-29T11:52:38Z</dcterms:created>
  <dcterms:modified xsi:type="dcterms:W3CDTF">2026-05-15T07:23:39Z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0x0101006E20E1A00D616641B849828FEE19A898</vt:lpwstr>
  </property>
</Properties>
</file>