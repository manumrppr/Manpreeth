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k-my.sharepoint.com/personal/manpreethm25_iitk_ac_in/Documents/"/>
    </mc:Choice>
  </mc:AlternateContent>
  <xr:revisionPtr revIDLastSave="0" documentId="8_{F83DB568-8BC5-4774-A8DF-8C39F2FCAB26}" xr6:coauthVersionLast="47" xr6:coauthVersionMax="47" xr10:uidLastSave="{00000000-0000-0000-0000-000000000000}"/>
  <bookViews>
    <workbookView minimized="1" xWindow="156" yWindow="0" windowWidth="17196" windowHeight="12960" activeTab="5" xr2:uid="{B986D831-3050-410E-990B-BF50AFAA20FB}"/>
  </bookViews>
  <sheets>
    <sheet name="Assumptions" sheetId="2" r:id="rId1"/>
    <sheet name="Debt_service" sheetId="4" r:id="rId2"/>
    <sheet name="Accounting_cashflow" sheetId="3" r:id="rId3"/>
    <sheet name="cash to passive investors " sheetId="5" r:id="rId4"/>
    <sheet name="Cash_to_Active" sheetId="6" r:id="rId5"/>
    <sheet name="Reports " sheetId="7" r:id="rId6"/>
  </sheets>
  <definedNames>
    <definedName name="Construction_cost">Assumptions!$C$5</definedName>
    <definedName name="Construction_period">Assumptions!$C$6</definedName>
    <definedName name="Debt_paid">Debt_service!$F$11:$F$20</definedName>
    <definedName name="EBITDA">Accounting_cashflow!$H$3:$H$17</definedName>
    <definedName name="Elec_escalation">Assumptions!$C$28</definedName>
    <definedName name="electricity_cost">Assumptions!$C$27</definedName>
    <definedName name="Electricity_produced">Assumptions!$C$35</definedName>
    <definedName name="Escalation_factor">Assumptions!$C$19</definedName>
    <definedName name="Gas_cost">Assumptions!$C$18</definedName>
    <definedName name="Gas_Escalation_factor">Assumptions!$C$19</definedName>
    <definedName name="Gas_utilised">Assumptions!$C$37</definedName>
    <definedName name="Interest">Debt_service!$E$11:$E$20</definedName>
    <definedName name="oper_Escalation">Assumptions!$C$24</definedName>
    <definedName name="Operations_cost_yr">Assumptions!$C$23</definedName>
    <definedName name="Plant_capacity_Elec">Assumptions!$C$8</definedName>
    <definedName name="Plant_capacity_steam">Assumptions!$C$9</definedName>
    <definedName name="Plant_utilisation">Assumptions!$C$34</definedName>
    <definedName name="PPI">Assumptions!$C$1</definedName>
    <definedName name="Steam_cost">Assumptions!$C$31</definedName>
    <definedName name="steam_escalation">Assumptions!$C$32</definedName>
    <definedName name="steam_produced">Assumptions!$C$36</definedName>
    <definedName name="Tax">Accounting_cashflow!$O$2:$O$17</definedName>
    <definedName name="tax_1">Accounting_cashflow!$O$3:$O$17</definedName>
    <definedName name="Tax_rate">Assumptions!$C$2</definedName>
    <definedName name="Total_Capacity">Assumptions!$C$17</definedName>
    <definedName name="Total_Capacity_gas">Assumptions!$C$17</definedName>
    <definedName name="Total_OM">Accounting_cashflow!$G$3:$G$17</definedName>
    <definedName name="Total_revenue">Accounting_cashflow!$D$3:$D$17</definedName>
    <definedName name="Total_Yrs">Assumptions!$C$16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7" l="1" a="1"/>
  <c r="D2" i="7"/>
  <c r="C2" i="7" a="1"/>
  <c r="C2" i="7"/>
  <c r="B2" i="7" a="1"/>
  <c r="B2" i="7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3" i="3"/>
  <c r="I3" i="6" a="1"/>
  <c r="I3" i="6" s="1"/>
  <c r="I3" i="5" l="1" a="1"/>
  <c r="I3" i="5" s="1"/>
  <c r="K3" i="3" a="1"/>
  <c r="K3" i="3" s="1"/>
  <c r="F12" i="4"/>
  <c r="F13" i="4"/>
  <c r="F14" i="4"/>
  <c r="F15" i="4"/>
  <c r="F16" i="4"/>
  <c r="F17" i="4"/>
  <c r="F18" i="4"/>
  <c r="F19" i="4"/>
  <c r="F20" i="4"/>
  <c r="F11" i="4"/>
  <c r="E12" i="4"/>
  <c r="E13" i="4"/>
  <c r="E14" i="4"/>
  <c r="E15" i="4"/>
  <c r="E16" i="4"/>
  <c r="E17" i="4"/>
  <c r="E18" i="4"/>
  <c r="E19" i="4"/>
  <c r="E20" i="4"/>
  <c r="B12" i="4"/>
  <c r="B13" i="4"/>
  <c r="B14" i="4"/>
  <c r="B15" i="4"/>
  <c r="B16" i="4"/>
  <c r="B17" i="4"/>
  <c r="B18" i="4"/>
  <c r="B19" i="4"/>
  <c r="B20" i="4" s="1"/>
  <c r="B11" i="4"/>
  <c r="E11" i="4"/>
  <c r="D12" i="4"/>
  <c r="D13" i="4"/>
  <c r="D14" i="4"/>
  <c r="D15" i="4"/>
  <c r="D16" i="4"/>
  <c r="D17" i="4"/>
  <c r="D18" i="4"/>
  <c r="D19" i="4"/>
  <c r="D20" i="4"/>
  <c r="D11" i="4"/>
  <c r="E17" i="2" l="1"/>
  <c r="C37" i="2" s="1"/>
  <c r="E9" i="2"/>
  <c r="C36" i="2" s="1"/>
  <c r="E8" i="2"/>
  <c r="C35" i="2" s="1"/>
  <c r="C32" i="2"/>
  <c r="C24" i="2"/>
  <c r="F4" i="6" l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4" i="3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B3" i="6"/>
  <c r="B3" i="5"/>
  <c r="B3" i="3"/>
  <c r="B4" i="3" s="1"/>
  <c r="E3" i="6"/>
  <c r="E3" i="5"/>
  <c r="E3" i="3"/>
  <c r="G3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F5" i="3"/>
  <c r="D4" i="3"/>
  <c r="B5" i="3"/>
  <c r="D3" i="3"/>
  <c r="H3" i="3" s="1"/>
  <c r="J3" i="3" s="1"/>
  <c r="L3" i="3" s="1"/>
  <c r="G3" i="5" l="1"/>
  <c r="E4" i="5"/>
  <c r="E4" i="6"/>
  <c r="G3" i="6"/>
  <c r="B4" i="5"/>
  <c r="D3" i="5"/>
  <c r="H3" i="5" s="1"/>
  <c r="B4" i="6"/>
  <c r="D3" i="6"/>
  <c r="H3" i="6" s="1"/>
  <c r="G4" i="3"/>
  <c r="H4" i="3" s="1"/>
  <c r="J4" i="3" s="1"/>
  <c r="L4" i="3" s="1"/>
  <c r="M3" i="3"/>
  <c r="O3" i="3" s="1"/>
  <c r="F6" i="3"/>
  <c r="G5" i="3"/>
  <c r="B6" i="3"/>
  <c r="D5" i="3"/>
  <c r="H5" i="3" s="1"/>
  <c r="B5" i="6" l="1"/>
  <c r="D4" i="6"/>
  <c r="B5" i="5"/>
  <c r="D4" i="5"/>
  <c r="E5" i="6"/>
  <c r="G4" i="6"/>
  <c r="G4" i="5"/>
  <c r="H4" i="5" s="1"/>
  <c r="E5" i="5"/>
  <c r="M5" i="3"/>
  <c r="O5" i="3" s="1"/>
  <c r="J5" i="3"/>
  <c r="L5" i="3" s="1"/>
  <c r="M4" i="3"/>
  <c r="O4" i="3" s="1"/>
  <c r="P3" i="3"/>
  <c r="P5" i="3"/>
  <c r="F7" i="3"/>
  <c r="G6" i="3"/>
  <c r="B7" i="3"/>
  <c r="D6" i="3"/>
  <c r="E6" i="5" l="1"/>
  <c r="G5" i="5"/>
  <c r="E6" i="6"/>
  <c r="G5" i="6"/>
  <c r="D5" i="5"/>
  <c r="B6" i="5"/>
  <c r="H4" i="6"/>
  <c r="B6" i="6"/>
  <c r="D5" i="6"/>
  <c r="H5" i="6" s="1"/>
  <c r="P4" i="3"/>
  <c r="H6" i="3"/>
  <c r="F8" i="3"/>
  <c r="G7" i="3"/>
  <c r="B8" i="3"/>
  <c r="D7" i="3"/>
  <c r="H7" i="3" s="1"/>
  <c r="B7" i="6" l="1"/>
  <c r="D6" i="6"/>
  <c r="D6" i="5"/>
  <c r="B7" i="5"/>
  <c r="E7" i="6"/>
  <c r="G6" i="6"/>
  <c r="H5" i="5"/>
  <c r="E7" i="5"/>
  <c r="G6" i="5"/>
  <c r="H6" i="5" s="1"/>
  <c r="M7" i="3"/>
  <c r="O7" i="3" s="1"/>
  <c r="J7" i="3"/>
  <c r="L7" i="3" s="1"/>
  <c r="M6" i="3"/>
  <c r="O6" i="3" s="1"/>
  <c r="J6" i="3"/>
  <c r="L6" i="3" s="1"/>
  <c r="P7" i="3"/>
  <c r="F9" i="3"/>
  <c r="G8" i="3"/>
  <c r="B9" i="3"/>
  <c r="D8" i="3"/>
  <c r="E8" i="5" l="1"/>
  <c r="G7" i="5"/>
  <c r="E8" i="6"/>
  <c r="G7" i="6"/>
  <c r="D7" i="5"/>
  <c r="B8" i="5"/>
  <c r="H6" i="6"/>
  <c r="B8" i="6"/>
  <c r="D7" i="6"/>
  <c r="H7" i="6" s="1"/>
  <c r="P6" i="3"/>
  <c r="H8" i="3"/>
  <c r="F10" i="3"/>
  <c r="G9" i="3"/>
  <c r="B10" i="3"/>
  <c r="D9" i="3"/>
  <c r="H9" i="3" s="1"/>
  <c r="B9" i="6" l="1"/>
  <c r="D8" i="6"/>
  <c r="D8" i="5"/>
  <c r="B9" i="5"/>
  <c r="E9" i="6"/>
  <c r="G8" i="6"/>
  <c r="H7" i="5"/>
  <c r="G8" i="5"/>
  <c r="H8" i="5" s="1"/>
  <c r="E9" i="5"/>
  <c r="M9" i="3"/>
  <c r="O9" i="3" s="1"/>
  <c r="P9" i="3" s="1"/>
  <c r="J9" i="3"/>
  <c r="L9" i="3" s="1"/>
  <c r="M8" i="3"/>
  <c r="O8" i="3" s="1"/>
  <c r="J8" i="3"/>
  <c r="L8" i="3" s="1"/>
  <c r="P8" i="3"/>
  <c r="F11" i="3"/>
  <c r="G10" i="3"/>
  <c r="B11" i="3"/>
  <c r="D10" i="3"/>
  <c r="H10" i="3" s="1"/>
  <c r="E10" i="5" l="1"/>
  <c r="G9" i="5"/>
  <c r="E10" i="6"/>
  <c r="G9" i="6"/>
  <c r="D9" i="5"/>
  <c r="B10" i="5"/>
  <c r="H8" i="6"/>
  <c r="B10" i="6"/>
  <c r="D9" i="6"/>
  <c r="H9" i="6" s="1"/>
  <c r="M10" i="3"/>
  <c r="O10" i="3" s="1"/>
  <c r="J10" i="3"/>
  <c r="L10" i="3" s="1"/>
  <c r="P10" i="3"/>
  <c r="F12" i="3"/>
  <c r="G11" i="3"/>
  <c r="B12" i="3"/>
  <c r="D11" i="3"/>
  <c r="H11" i="3" s="1"/>
  <c r="B11" i="6" l="1"/>
  <c r="D10" i="6"/>
  <c r="B11" i="5"/>
  <c r="D10" i="5"/>
  <c r="E11" i="6"/>
  <c r="G10" i="6"/>
  <c r="H9" i="5"/>
  <c r="G10" i="5"/>
  <c r="H10" i="5" s="1"/>
  <c r="E11" i="5"/>
  <c r="M11" i="3"/>
  <c r="O11" i="3" s="1"/>
  <c r="J11" i="3"/>
  <c r="L11" i="3" s="1"/>
  <c r="P11" i="3"/>
  <c r="F13" i="3"/>
  <c r="G12" i="3"/>
  <c r="B13" i="3"/>
  <c r="D12" i="3"/>
  <c r="H12" i="3" s="1"/>
  <c r="G11" i="5" l="1"/>
  <c r="E12" i="5"/>
  <c r="E12" i="6"/>
  <c r="G11" i="6"/>
  <c r="B12" i="5"/>
  <c r="D11" i="5"/>
  <c r="H10" i="6"/>
  <c r="B12" i="6"/>
  <c r="D11" i="6"/>
  <c r="H11" i="6" s="1"/>
  <c r="M12" i="3"/>
  <c r="O12" i="3" s="1"/>
  <c r="J12" i="3"/>
  <c r="L12" i="3" s="1"/>
  <c r="P12" i="3"/>
  <c r="F14" i="3"/>
  <c r="G13" i="3"/>
  <c r="B14" i="3"/>
  <c r="D13" i="3"/>
  <c r="H13" i="3" s="1"/>
  <c r="B13" i="6" l="1"/>
  <c r="D12" i="6"/>
  <c r="B13" i="5"/>
  <c r="D12" i="5"/>
  <c r="E13" i="6"/>
  <c r="G12" i="6"/>
  <c r="G12" i="5"/>
  <c r="H12" i="5" s="1"/>
  <c r="E13" i="5"/>
  <c r="H11" i="5"/>
  <c r="M13" i="3"/>
  <c r="O13" i="3" s="1"/>
  <c r="J13" i="3"/>
  <c r="L13" i="3" s="1"/>
  <c r="F15" i="3"/>
  <c r="G14" i="3"/>
  <c r="B15" i="3"/>
  <c r="D14" i="3"/>
  <c r="H14" i="3" s="1"/>
  <c r="E14" i="5" l="1"/>
  <c r="G13" i="5"/>
  <c r="E14" i="6"/>
  <c r="G13" i="6"/>
  <c r="D13" i="5"/>
  <c r="B14" i="5"/>
  <c r="H12" i="6"/>
  <c r="B14" i="6"/>
  <c r="D13" i="6"/>
  <c r="H13" i="6" s="1"/>
  <c r="P13" i="3"/>
  <c r="M14" i="3"/>
  <c r="O14" i="3" s="1"/>
  <c r="J14" i="3"/>
  <c r="L14" i="3" s="1"/>
  <c r="P14" i="3"/>
  <c r="F16" i="3"/>
  <c r="G15" i="3"/>
  <c r="B16" i="3"/>
  <c r="D15" i="3"/>
  <c r="H15" i="3" s="1"/>
  <c r="B15" i="6" l="1"/>
  <c r="D14" i="6"/>
  <c r="B15" i="5"/>
  <c r="D14" i="5"/>
  <c r="E15" i="6"/>
  <c r="G14" i="6"/>
  <c r="H13" i="5"/>
  <c r="E15" i="5"/>
  <c r="G14" i="5"/>
  <c r="H14" i="5" s="1"/>
  <c r="M15" i="3"/>
  <c r="O15" i="3" s="1"/>
  <c r="J15" i="3"/>
  <c r="L15" i="3" s="1"/>
  <c r="P15" i="3"/>
  <c r="F17" i="3"/>
  <c r="G16" i="3"/>
  <c r="B17" i="3"/>
  <c r="D17" i="3" s="1"/>
  <c r="D16" i="3"/>
  <c r="H16" i="3" s="1"/>
  <c r="E16" i="5" l="1"/>
  <c r="G15" i="5"/>
  <c r="E16" i="6"/>
  <c r="G15" i="6"/>
  <c r="D15" i="5"/>
  <c r="B16" i="5"/>
  <c r="H14" i="6"/>
  <c r="B16" i="6"/>
  <c r="D15" i="6"/>
  <c r="H15" i="6" s="1"/>
  <c r="M16" i="3"/>
  <c r="O16" i="3" s="1"/>
  <c r="J16" i="3"/>
  <c r="L16" i="3" s="1"/>
  <c r="P16" i="3"/>
  <c r="G17" i="3"/>
  <c r="H17" i="3" s="1"/>
  <c r="B17" i="6" l="1"/>
  <c r="D17" i="6" s="1"/>
  <c r="D16" i="6"/>
  <c r="D16" i="5"/>
  <c r="B17" i="5"/>
  <c r="D17" i="5" s="1"/>
  <c r="E17" i="6"/>
  <c r="G17" i="6" s="1"/>
  <c r="G16" i="6"/>
  <c r="H15" i="5"/>
  <c r="G16" i="5"/>
  <c r="H16" i="5" s="1"/>
  <c r="E17" i="5"/>
  <c r="G17" i="5" s="1"/>
  <c r="H17" i="5" s="1"/>
  <c r="M17" i="3"/>
  <c r="O17" i="3" s="1"/>
  <c r="J17" i="3"/>
  <c r="L17" i="3" s="1"/>
  <c r="P17" i="3"/>
  <c r="H16" i="6" l="1"/>
  <c r="H17" i="6"/>
  <c r="J3" i="5" a="1"/>
  <c r="K14" i="5" s="1"/>
  <c r="M14" i="5" s="1"/>
  <c r="J3" i="6" a="1"/>
  <c r="K17" i="5"/>
  <c r="M17" i="5" s="1"/>
  <c r="K13" i="5"/>
  <c r="M13" i="5" s="1"/>
  <c r="K5" i="5"/>
  <c r="M5" i="5" s="1"/>
  <c r="K16" i="5"/>
  <c r="M16" i="5" s="1"/>
  <c r="K8" i="5"/>
  <c r="M8" i="5" s="1"/>
  <c r="K11" i="5"/>
  <c r="M11" i="5" s="1"/>
  <c r="K7" i="5"/>
  <c r="M7" i="5" s="1"/>
  <c r="J3" i="5"/>
  <c r="K3" i="5" s="1"/>
  <c r="M3" i="5" s="1"/>
  <c r="K10" i="5"/>
  <c r="M10" i="5" s="1"/>
  <c r="K6" i="5"/>
  <c r="M6" i="5" s="1"/>
  <c r="K9" i="5"/>
  <c r="M9" i="5" s="1"/>
  <c r="K12" i="5"/>
  <c r="M12" i="5" s="1"/>
  <c r="K4" i="5"/>
  <c r="M4" i="5" s="1"/>
  <c r="K15" i="5"/>
  <c r="M15" i="5" s="1"/>
  <c r="J3" i="6" l="1"/>
  <c r="K3" i="6" s="1"/>
  <c r="M3" i="6" s="1"/>
  <c r="K4" i="6"/>
  <c r="M4" i="6" s="1"/>
  <c r="K6" i="6"/>
  <c r="M6" i="6" s="1"/>
  <c r="K5" i="6"/>
  <c r="M5" i="6" s="1"/>
  <c r="K8" i="6"/>
  <c r="M8" i="6" s="1"/>
  <c r="K7" i="6"/>
  <c r="M7" i="6" s="1"/>
  <c r="K10" i="6"/>
  <c r="M10" i="6" s="1"/>
  <c r="K9" i="6"/>
  <c r="M9" i="6" s="1"/>
  <c r="K12" i="6"/>
  <c r="M12" i="6" s="1"/>
  <c r="K11" i="6"/>
  <c r="M11" i="6" s="1"/>
  <c r="K14" i="6"/>
  <c r="M14" i="6" s="1"/>
  <c r="K13" i="6"/>
  <c r="M13" i="6" s="1"/>
  <c r="K16" i="6"/>
  <c r="M16" i="6" s="1"/>
  <c r="K17" i="6"/>
  <c r="M17" i="6" s="1"/>
  <c r="K15" i="6"/>
  <c r="M15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<sst xmlns="http://schemas.openxmlformats.org/spreadsheetml/2006/main" count="182" uniqueCount="101">
  <si>
    <t>PPI</t>
  </si>
  <si>
    <t>TAX Rate</t>
  </si>
  <si>
    <t xml:space="preserve">EPC Contract </t>
  </si>
  <si>
    <t xml:space="preserve">Construction_cost </t>
  </si>
  <si>
    <t>million</t>
  </si>
  <si>
    <t>Construction_period</t>
  </si>
  <si>
    <t>Yrs</t>
  </si>
  <si>
    <t xml:space="preserve">Yearly_capacity </t>
  </si>
  <si>
    <t>Plant_capacity_Elec</t>
  </si>
  <si>
    <t>MW</t>
  </si>
  <si>
    <t>Mwh</t>
  </si>
  <si>
    <t>Plant_capacity_steam</t>
  </si>
  <si>
    <t>Pounds/hr</t>
  </si>
  <si>
    <t>Pounds</t>
  </si>
  <si>
    <t xml:space="preserve">Gas Supply </t>
  </si>
  <si>
    <t>Total_Yrs</t>
  </si>
  <si>
    <t>Total_Capacity_gas</t>
  </si>
  <si>
    <t>MBTU/Hr</t>
  </si>
  <si>
    <t>MBTU</t>
  </si>
  <si>
    <t>Gas_cost</t>
  </si>
  <si>
    <t xml:space="preserve"> Per MBTU</t>
  </si>
  <si>
    <t>Gas_Escalation_factor</t>
  </si>
  <si>
    <t xml:space="preserve">Operations agreement </t>
  </si>
  <si>
    <t>Operations_cost/yr</t>
  </si>
  <si>
    <t>Million</t>
  </si>
  <si>
    <t>oper_Escalation</t>
  </si>
  <si>
    <t>Electric_Power_15Yrs</t>
  </si>
  <si>
    <t>electricity_cost</t>
  </si>
  <si>
    <t>Per Mwh</t>
  </si>
  <si>
    <t>Elec_escalation</t>
  </si>
  <si>
    <t>Steam_Purchase</t>
  </si>
  <si>
    <t>Steam-cost</t>
  </si>
  <si>
    <t>per 1000 pounds</t>
  </si>
  <si>
    <t>steam_escalation</t>
  </si>
  <si>
    <t>Plant_utilisation</t>
  </si>
  <si>
    <t>Electricity_produced</t>
  </si>
  <si>
    <t>steam_produced</t>
  </si>
  <si>
    <t>M Pounds</t>
  </si>
  <si>
    <t>Gas_utilised</t>
  </si>
  <si>
    <t>De</t>
  </si>
  <si>
    <t>Principal payment</t>
  </si>
  <si>
    <t>Principal</t>
  </si>
  <si>
    <t>1_3 yrs</t>
  </si>
  <si>
    <t>Term</t>
  </si>
  <si>
    <t>4_7 Yrs</t>
  </si>
  <si>
    <t>Interest</t>
  </si>
  <si>
    <t>%</t>
  </si>
  <si>
    <t>8_10 Yrs</t>
  </si>
  <si>
    <t>Principal_left</t>
  </si>
  <si>
    <t>Principal_percent</t>
  </si>
  <si>
    <t>Principal_paid</t>
  </si>
  <si>
    <t>Total_debt_paid</t>
  </si>
  <si>
    <t xml:space="preserve">year 0  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</si>
  <si>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</si>
  <si>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</si>
  <si>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</si>
  <si>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</si>
  <si>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</si>
  <si>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</si>
  <si>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</si>
  <si>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</si>
  <si>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</si>
  <si>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</si>
  <si>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</t>
  </si>
  <si>
    <t>End_of</t>
  </si>
  <si>
    <t>Revenue</t>
  </si>
  <si>
    <t>O&amp;M</t>
  </si>
  <si>
    <t>EBITDA</t>
  </si>
  <si>
    <t>Dep</t>
  </si>
  <si>
    <t>EBIT</t>
  </si>
  <si>
    <t>interest</t>
  </si>
  <si>
    <t>Profit_before_tax</t>
  </si>
  <si>
    <t>Taxable_income</t>
  </si>
  <si>
    <t>Tax_rate</t>
  </si>
  <si>
    <t>Tax</t>
  </si>
  <si>
    <t>EBITDA-Tax-interestAnnual accounting Profit</t>
  </si>
  <si>
    <t>steam</t>
  </si>
  <si>
    <t>Elec</t>
  </si>
  <si>
    <t>Operatios_cost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</si>
  <si>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</si>
  <si>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</si>
  <si>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</si>
  <si>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</si>
  <si>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</si>
  <si>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</si>
  <si>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</si>
  <si>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</si>
  <si>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</si>
  <si>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</si>
  <si>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</si>
  <si>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</si>
  <si>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</si>
  <si>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</si>
  <si>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</si>
  <si>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Debt_service</t>
  </si>
  <si>
    <t>Tax -payment</t>
  </si>
  <si>
    <t>Casgh_balance</t>
  </si>
  <si>
    <t>Percentage_share</t>
  </si>
  <si>
    <t>cash_to passsive</t>
  </si>
  <si>
    <t>Cash_balance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</si>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</sst>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0" applyNumberFormat="1"/>
    <xf numFmtId="9" fontId="0" fillId="0" borderId="0" xfId="1" applyFont="1"/>
    <xf numFmtId="16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Revenue-O&amp;M Vs Years</a:t>
            </a:r>
          </a:p>
        </c:rich>
      </c:tx>
      <c:layout>
        <c:manualLayout>
          <c:xMode val="edge"/>
          <c:yMode val="edge"/>
          <c:x val="0.203798556430446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'Reports '!B1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'Reports '!$A$2:$A$16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'Reports '!$B$2:$B$16</c:f>
              <c:numCache>
                <c:formatCode>General</c:formatCode>
                <c:ptCount val="15"/>
                <c:pt idx="0">
                  <c:v>83.570400000000006</c:v>
                </c:pt>
                <c:pt idx="1">
                  <c:v>88.537320000000008</c:v>
                </c:pt>
                <c:pt idx="2">
                  <c:v>93.799890000000005</c:v>
                </c:pt>
                <c:pt idx="3">
                  <c:v>99.375730740000023</c:v>
                </c:pt>
                <c:pt idx="4">
                  <c:v>105.28351429140002</c:v>
                </c:pt>
                <c:pt idx="5">
                  <c:v>111.54302684123404</c:v>
                </c:pt>
                <c:pt idx="6">
                  <c:v>118.17523522867559</c:v>
                </c:pt>
                <c:pt idx="7">
                  <c:v>125.20235745821201</c:v>
                </c:pt>
                <c:pt idx="8">
                  <c:v>132.6479374273114</c:v>
                </c:pt>
                <c:pt idx="9">
                  <c:v>140.53692412063711</c:v>
                </c:pt>
                <c:pt idx="10">
                  <c:v>148.89575553794668</c:v>
                </c:pt>
                <c:pt idx="11">
                  <c:v>157.75244763879843</c:v>
                </c:pt>
                <c:pt idx="12">
                  <c:v>167.13668860413</c:v>
                </c:pt>
                <c:pt idx="13">
                  <c:v>177.07993873273168</c:v>
                </c:pt>
                <c:pt idx="14">
                  <c:v>187.61553630966711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3E561AB5-4E3E-4956-A679-3208AD76A18A}"/>
            </c:ext>
          </c:extLst>
        </c:ser>
        <c:ser>
          <c:idx val="1"/>
          <c:order val="1"/>
          <c:tx>
            <c:strRef>
              <c:f>'Reports '!C1</c:f>
              <c:strCache>
                <c:ptCount val="1"/>
                <c:pt idx="0">
                  <c:v>O&amp;M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'Reports '!$A$2:$A$16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'Reports '!$C$2:$C$16</c:f>
              <c:numCache>
                <c:formatCode>General</c:formatCode>
                <c:ptCount val="15"/>
                <c:pt idx="0">
                  <c:v>54.121400000000001</c:v>
                </c:pt>
                <c:pt idx="1">
                  <c:v>57.288684000000003</c:v>
                </c:pt>
                <c:pt idx="2">
                  <c:v>60.642005040000008</c:v>
                </c:pt>
                <c:pt idx="3">
                  <c:v>64.192325342400011</c:v>
                </c:pt>
                <c:pt idx="4">
                  <c:v>67.951254862944012</c:v>
                </c:pt>
                <c:pt idx="5">
                  <c:v>71.931089654720665</c:v>
                </c:pt>
                <c:pt idx="6">
                  <c:v>76.144852509003897</c:v>
                </c:pt>
                <c:pt idx="7">
                  <c:v>80.60633600829415</c:v>
                </c:pt>
                <c:pt idx="8">
                  <c:v>85.330148134979297</c:v>
                </c:pt>
                <c:pt idx="9">
                  <c:v>90.331760587574934</c:v>
                </c:pt>
                <c:pt idx="10">
                  <c:v>95.627559965551143</c:v>
                </c:pt>
                <c:pt idx="11">
                  <c:v>101.23490199334204</c:v>
                </c:pt>
                <c:pt idx="12">
                  <c:v>107.17216896429326</c:v>
                </c:pt>
                <c:pt idx="13">
                  <c:v>113.45883059606909</c:v>
                </c:pt>
                <c:pt idx="14">
                  <c:v>120.11550850044738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963FE42-F743-4C62-AA60-BCCE25F7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7623"/>
        <c:axId val="2019775495"/>
      </c:lineChart>
      <c:catAx>
        <c:axId val="83567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775495"/>
        <c:crosses val="autoZero"/>
        <c:auto val="1"/>
        <c:lblAlgn val="ctr"/>
        <c:lblOffset val="100"/>
        <c:noMultiLvlLbl val="0"/>
      </c:catAx>
      <c:valAx>
        <c:axId val="201977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7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Vs Years</a:t>
            </a:r>
          </a:p>
        </c:rich>
      </c:tx>
      <c:layout>
        <c:manualLayout>
          <c:xMode val="edge"/>
          <c:yMode val="edge"/>
          <c:x val="0.19921519766579776"/>
          <c:y val="2.9166645473904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'Reports '!D1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'Reports '!$A$2:$A$16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'Reports '!$D$2:$D$16</c:f>
              <c:numCache>
                <c:formatCode>General</c:formatCode>
                <c:ptCount val="15"/>
                <c:pt idx="0">
                  <c:v>29.449000000000005</c:v>
                </c:pt>
                <c:pt idx="1">
                  <c:v>31.248636000000005</c:v>
                </c:pt>
                <c:pt idx="2">
                  <c:v>33.157884959999997</c:v>
                </c:pt>
                <c:pt idx="3">
                  <c:v>35.183405397600012</c:v>
                </c:pt>
                <c:pt idx="4">
                  <c:v>37.332259428456013</c:v>
                </c:pt>
                <c:pt idx="5">
                  <c:v>39.611937186513373</c:v>
                </c:pt>
                <c:pt idx="6">
                  <c:v>42.030382719671692</c:v>
                </c:pt>
                <c:pt idx="7">
                  <c:v>44.596021449917856</c:v>
                </c:pt>
                <c:pt idx="8">
                  <c:v>47.317789292332108</c:v>
                </c:pt>
                <c:pt idx="9">
                  <c:v>50.205163533062176</c:v>
                </c:pt>
                <c:pt idx="10">
                  <c:v>53.268195572395541</c:v>
                </c:pt>
                <c:pt idx="11">
                  <c:v>56.517545645456394</c:v>
                </c:pt>
                <c:pt idx="12">
                  <c:v>59.964519639836737</c:v>
                </c:pt>
                <c:pt idx="13">
                  <c:v>63.621108136662585</c:v>
                </c:pt>
                <c:pt idx="14">
                  <c:v>67.500027809219731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D962333-9A31-473E-AFE0-43D8B2635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149640"/>
        <c:axId val="713761800"/>
      </c:lineChart>
      <c:catAx>
        <c:axId val="34214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61800"/>
        <c:crosses val="autoZero"/>
        <c:auto val="1"/>
        <c:lblAlgn val="ctr"/>
        <c:lblOffset val="100"/>
        <c:noMultiLvlLbl val="0"/>
      </c:catAx>
      <c:valAx>
        <c:axId val="71376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4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0</xdr:row>
      <xdr:rowOff>180975</xdr:rowOff>
    </xdr:from>
    <xdr:to>
      <xdr:col>12</xdr:col>
      <xdr:colOff>523875</xdr:colOff>
      <xdr:row>15</xdr:row>
      <xdr:rowOff>66675</xdr:rowOff>
    </xdr:to>
    <xdr:graphicFrame macro="">
      <xdr:nvGraphicFramePr>
        <xdr:cNvPr id="2" name="Chart 1" descr="Chart type: Line. 'Revenue', 'O&amp;M', 'EBITDA' by 'Years'&#10;&#10;Description automatically generated">
          <a:extLst>
            <a:ext uri="{FF2B5EF4-FFF2-40B4-BE49-F238E27FC236}">
              <a16:creationId xmlns:a16="http://schemas.microsoft.com/office/drawing/2014/main" id="{6A12F395-3D36-0850-8731-E1132AFD5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16</xdr:row>
      <xdr:rowOff>123825</xdr:rowOff>
    </xdr:from>
    <xdr:to>
      <xdr:col>12</xdr:col>
      <xdr:colOff>514350</xdr:colOff>
      <xdr:row>31</xdr:row>
      <xdr:rowOff>9525</xdr:rowOff>
    </xdr:to>
    <xdr:graphicFrame macro="">
      <xdr:nvGraphicFramePr>
        <xdr:cNvPr id="4" name="Chart 3" descr="Chart type: Line. 'Revenue', 'O&amp;M', 'EBITDA' by 'Years'&#10;&#10;Description automatically generated">
          <a:extLst>
            <a:ext uri="{FF2B5EF4-FFF2-40B4-BE49-F238E27FC236}">
              <a16:creationId xmlns:a16="http://schemas.microsoft.com/office/drawing/2014/main" id="{5D66F2B1-98AE-D157-1D2E-C892FA613774}"/>
            </a:ext>
            <a:ext uri="{147F2762-F138-4A5C-976F-8EAC2B608ADB}">
              <a16:predDERef xmlns:a16="http://schemas.microsoft.com/office/drawing/2014/main" pred="{6A12F395-3D36-0850-8731-E1132AFD5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AFAE-F4CF-479A-8D9A-12D7CB51D93C}">
  <dimension ref="A1:F37"/>
  <sheetViews>
    <sheetView zoomScale="110" zoomScaleNormal="110" workbookViewId="0">
      <selection activeCell="C2" sqref="C2"/>
    </sheetView>
  </sheetViews>
  <sheetFormatPr defaultRowHeight="14.45"/>
  <cols>
    <col min="2" max="2" width="23.28515625" customWidth="1"/>
    <col min="4" max="4" width="15.42578125" customWidth="1"/>
    <col min="5" max="5" width="18.140625" customWidth="1"/>
  </cols>
  <sheetData>
    <row r="1" spans="1:6">
      <c r="B1" t="s">
        <v>0</v>
      </c>
      <c r="C1" s="1">
        <v>0.05</v>
      </c>
    </row>
    <row r="2" spans="1:6">
      <c r="B2" t="s">
        <v>1</v>
      </c>
      <c r="C2" s="1">
        <v>0.4</v>
      </c>
    </row>
    <row r="3" spans="1:6">
      <c r="A3" s="4" t="s">
        <v>2</v>
      </c>
      <c r="B3" s="4"/>
    </row>
    <row r="5" spans="1:6">
      <c r="B5" t="s">
        <v>3</v>
      </c>
      <c r="C5">
        <v>100</v>
      </c>
      <c r="D5" t="s">
        <v>4</v>
      </c>
    </row>
    <row r="6" spans="1:6">
      <c r="B6" t="s">
        <v>5</v>
      </c>
      <c r="C6">
        <v>2</v>
      </c>
      <c r="D6" t="s">
        <v>6</v>
      </c>
    </row>
    <row r="7" spans="1:6">
      <c r="C7" s="1"/>
      <c r="E7" s="1" t="s">
        <v>7</v>
      </c>
    </row>
    <row r="8" spans="1:6">
      <c r="B8" t="s">
        <v>8</v>
      </c>
      <c r="C8">
        <v>250</v>
      </c>
      <c r="D8" t="s">
        <v>9</v>
      </c>
      <c r="E8">
        <f>Plant_capacity_Elec*365*24</f>
        <v>2190000</v>
      </c>
      <c r="F8" t="s">
        <v>10</v>
      </c>
    </row>
    <row r="9" spans="1:6">
      <c r="B9" t="s">
        <v>11</v>
      </c>
      <c r="C9">
        <v>150000</v>
      </c>
      <c r="D9" t="s">
        <v>12</v>
      </c>
      <c r="E9">
        <f>Plant_capacity_steam*365*24</f>
        <v>1314000000</v>
      </c>
      <c r="F9" t="s">
        <v>13</v>
      </c>
    </row>
    <row r="14" spans="1:6">
      <c r="A14" s="4" t="s">
        <v>14</v>
      </c>
      <c r="B14" s="4"/>
    </row>
    <row r="16" spans="1:6">
      <c r="B16" t="s">
        <v>15</v>
      </c>
      <c r="C16">
        <v>15</v>
      </c>
    </row>
    <row r="17" spans="1:6">
      <c r="B17" t="s">
        <v>16</v>
      </c>
      <c r="C17">
        <v>1950</v>
      </c>
      <c r="D17" t="s">
        <v>17</v>
      </c>
      <c r="E17">
        <f>Total_Capacity*365*24</f>
        <v>17082000</v>
      </c>
      <c r="F17" t="s">
        <v>18</v>
      </c>
    </row>
    <row r="18" spans="1:6">
      <c r="B18" t="s">
        <v>19</v>
      </c>
      <c r="C18">
        <v>3</v>
      </c>
      <c r="D18" t="s">
        <v>20</v>
      </c>
    </row>
    <row r="19" spans="1:6">
      <c r="B19" t="s">
        <v>21</v>
      </c>
      <c r="C19" s="1">
        <v>0.06</v>
      </c>
    </row>
    <row r="21" spans="1:6">
      <c r="A21" s="4" t="s">
        <v>22</v>
      </c>
      <c r="B21" s="4"/>
    </row>
    <row r="23" spans="1:6">
      <c r="B23" t="s">
        <v>23</v>
      </c>
      <c r="C23">
        <v>6</v>
      </c>
      <c r="D23" t="s">
        <v>24</v>
      </c>
    </row>
    <row r="24" spans="1:6">
      <c r="B24" t="s">
        <v>25</v>
      </c>
      <c r="C24" s="1">
        <f>PPI</f>
        <v>0.05</v>
      </c>
    </row>
    <row r="26" spans="1:6">
      <c r="A26" s="4" t="s">
        <v>26</v>
      </c>
      <c r="B26" s="4"/>
    </row>
    <row r="27" spans="1:6">
      <c r="B27" t="s">
        <v>27</v>
      </c>
      <c r="C27">
        <v>40</v>
      </c>
      <c r="D27" t="s">
        <v>28</v>
      </c>
    </row>
    <row r="28" spans="1:6">
      <c r="B28" t="s">
        <v>29</v>
      </c>
      <c r="C28" s="1">
        <v>0.06</v>
      </c>
    </row>
    <row r="30" spans="1:6">
      <c r="A30" s="4" t="s">
        <v>30</v>
      </c>
      <c r="B30" s="4"/>
    </row>
    <row r="31" spans="1:6">
      <c r="B31" t="s">
        <v>31</v>
      </c>
      <c r="C31">
        <v>4</v>
      </c>
      <c r="D31" t="s">
        <v>32</v>
      </c>
    </row>
    <row r="32" spans="1:6">
      <c r="B32" t="s">
        <v>33</v>
      </c>
      <c r="C32" s="2">
        <f>PPI</f>
        <v>0.05</v>
      </c>
    </row>
    <row r="34" spans="2:4">
      <c r="B34" t="s">
        <v>34</v>
      </c>
      <c r="C34" s="1">
        <v>0.9</v>
      </c>
    </row>
    <row r="35" spans="2:4">
      <c r="B35" t="s">
        <v>35</v>
      </c>
      <c r="C35">
        <f>E8*Plant_utilisation</f>
        <v>1971000</v>
      </c>
      <c r="D35" t="s">
        <v>10</v>
      </c>
    </row>
    <row r="36" spans="2:4">
      <c r="B36" t="s">
        <v>36</v>
      </c>
      <c r="C36">
        <f>E9*Plant_utilisation/1000000</f>
        <v>1182.5999999999999</v>
      </c>
      <c r="D36" t="s">
        <v>37</v>
      </c>
    </row>
    <row r="37" spans="2:4">
      <c r="B37" t="s">
        <v>38</v>
      </c>
      <c r="C37">
        <f>E17*Plant_utilisation</f>
        <v>15373800</v>
      </c>
      <c r="D37" t="s">
        <v>18</v>
      </c>
    </row>
  </sheetData>
  <mergeCells count="5">
    <mergeCell ref="A3:B3"/>
    <mergeCell ref="A14:B14"/>
    <mergeCell ref="A21:B21"/>
    <mergeCell ref="A26:B26"/>
    <mergeCell ref="A30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84A6-CEB7-4F42-9626-6F0AC7DDB8D9}">
  <dimension ref="A1:F21"/>
  <sheetViews>
    <sheetView workbookViewId="0">
      <selection activeCell="F11" sqref="F11"/>
    </sheetView>
  </sheetViews>
  <sheetFormatPr defaultRowHeight="14.45"/>
  <cols>
    <col min="2" max="2" width="11.85546875" customWidth="1"/>
    <col min="3" max="3" width="15.28515625" bestFit="1" customWidth="1"/>
    <col min="4" max="4" width="12.7109375" customWidth="1"/>
    <col min="5" max="5" width="15.5703125" customWidth="1"/>
    <col min="6" max="6" width="18" customWidth="1"/>
  </cols>
  <sheetData>
    <row r="1" spans="1:6">
      <c r="A1" t="s">
        <v>39</v>
      </c>
    </row>
    <row r="2" spans="1:6">
      <c r="E2" t="s">
        <v>40</v>
      </c>
    </row>
    <row r="3" spans="1:6">
      <c r="A3" t="s">
        <v>41</v>
      </c>
      <c r="B3">
        <v>85</v>
      </c>
      <c r="C3" t="s">
        <v>24</v>
      </c>
      <c r="E3" s="3" t="s">
        <v>42</v>
      </c>
      <c r="F3" s="1">
        <v>0.05</v>
      </c>
    </row>
    <row r="4" spans="1:6">
      <c r="A4" t="s">
        <v>43</v>
      </c>
      <c r="B4">
        <v>10</v>
      </c>
      <c r="C4" t="s">
        <v>6</v>
      </c>
      <c r="E4" s="3" t="s">
        <v>44</v>
      </c>
      <c r="F4" s="1">
        <v>0.1</v>
      </c>
    </row>
    <row r="5" spans="1:6">
      <c r="A5" t="s">
        <v>45</v>
      </c>
      <c r="B5">
        <v>10</v>
      </c>
      <c r="C5" t="s">
        <v>46</v>
      </c>
      <c r="E5" t="s">
        <v>47</v>
      </c>
      <c r="F5" s="1">
        <v>0.15</v>
      </c>
    </row>
    <row r="9" spans="1:6">
      <c r="B9" t="s">
        <v>48</v>
      </c>
      <c r="C9" t="s">
        <v>49</v>
      </c>
      <c r="D9" t="s">
        <v>50</v>
      </c>
      <c r="E9" t="s">
        <v>45</v>
      </c>
      <c r="F9" t="s">
        <v>51</v>
      </c>
    </row>
    <row r="10" spans="1:6">
      <c r="A10" t="s">
        <v>52</v>
      </c>
      <c r="B10">
        <v>85</v>
      </c>
    </row>
    <row r="11" spans="1:6">
      <c r="A11" t="s">
        <v>53</v>
      </c>
      <c r="B11">
        <f>B10-D11</f>
        <v>80.75</v>
      </c>
      <c r="C11" s="1">
        <v>0.05</v>
      </c>
      <c r="D11">
        <f>$B$10*C11</f>
        <v>4.25</v>
      </c>
      <c r="E11">
        <f>B10*10%</f>
        <v>8.5</v>
      </c>
      <c r="F11">
        <f>D11+E11</f>
        <v>12.75</v>
      </c>
    </row>
    <row r="12" spans="1:6">
      <c r="A12" t="s">
        <v>54</v>
      </c>
      <c r="B12">
        <f t="shared" ref="B12:B20" si="0">B11-D12</f>
        <v>76.5</v>
      </c>
      <c r="C12" s="1">
        <v>0.05</v>
      </c>
      <c r="D12">
        <f t="shared" ref="D12:D20" si="1">$B$10*C12</f>
        <v>4.25</v>
      </c>
      <c r="E12">
        <f t="shared" ref="E12:E20" si="2">B11*10%</f>
        <v>8.0750000000000011</v>
      </c>
      <c r="F12">
        <f t="shared" ref="F12:F21" si="3">D12+E12</f>
        <v>12.325000000000001</v>
      </c>
    </row>
    <row r="13" spans="1:6">
      <c r="A13" t="s">
        <v>55</v>
      </c>
      <c r="B13">
        <f t="shared" si="0"/>
        <v>72.25</v>
      </c>
      <c r="C13" s="1">
        <v>0.05</v>
      </c>
      <c r="D13">
        <f t="shared" si="1"/>
        <v>4.25</v>
      </c>
      <c r="E13">
        <f t="shared" si="2"/>
        <v>7.65</v>
      </c>
      <c r="F13">
        <f t="shared" si="3"/>
        <v>11.9</v>
      </c>
    </row>
    <row r="14" spans="1:6">
      <c r="A14" t="s">
        <v>56</v>
      </c>
      <c r="B14">
        <f t="shared" si="0"/>
        <v>63.75</v>
      </c>
      <c r="C14" s="1">
        <v>0.1</v>
      </c>
      <c r="D14">
        <f t="shared" si="1"/>
        <v>8.5</v>
      </c>
      <c r="E14">
        <f t="shared" si="2"/>
        <v>7.2250000000000005</v>
      </c>
      <c r="F14">
        <f t="shared" si="3"/>
        <v>15.725000000000001</v>
      </c>
    </row>
    <row r="15" spans="1:6">
      <c r="A15" t="s">
        <v>57</v>
      </c>
      <c r="B15">
        <f t="shared" si="0"/>
        <v>55.25</v>
      </c>
      <c r="C15" s="1">
        <v>0.1</v>
      </c>
      <c r="D15">
        <f t="shared" si="1"/>
        <v>8.5</v>
      </c>
      <c r="E15">
        <f t="shared" si="2"/>
        <v>6.375</v>
      </c>
      <c r="F15">
        <f t="shared" si="3"/>
        <v>14.875</v>
      </c>
    </row>
    <row r="16" spans="1:6">
      <c r="A16" t="s">
        <v>58</v>
      </c>
      <c r="B16">
        <f t="shared" si="0"/>
        <v>46.75</v>
      </c>
      <c r="C16" s="1">
        <v>0.1</v>
      </c>
      <c r="D16">
        <f t="shared" si="1"/>
        <v>8.5</v>
      </c>
      <c r="E16">
        <f t="shared" si="2"/>
        <v>5.5250000000000004</v>
      </c>
      <c r="F16">
        <f t="shared" si="3"/>
        <v>14.025</v>
      </c>
    </row>
    <row r="17" spans="1:6">
      <c r="A17" t="s">
        <v>59</v>
      </c>
      <c r="B17">
        <f t="shared" si="0"/>
        <v>38.25</v>
      </c>
      <c r="C17" s="1">
        <v>0.1</v>
      </c>
      <c r="D17">
        <f t="shared" si="1"/>
        <v>8.5</v>
      </c>
      <c r="E17">
        <f t="shared" si="2"/>
        <v>4.6749999999999998</v>
      </c>
      <c r="F17">
        <f t="shared" si="3"/>
        <v>13.175000000000001</v>
      </c>
    </row>
    <row r="18" spans="1:6">
      <c r="A18" t="s">
        <v>60</v>
      </c>
      <c r="B18">
        <f t="shared" si="0"/>
        <v>25.5</v>
      </c>
      <c r="C18" s="1">
        <v>0.15</v>
      </c>
      <c r="D18">
        <f t="shared" si="1"/>
        <v>12.75</v>
      </c>
      <c r="E18">
        <f t="shared" si="2"/>
        <v>3.8250000000000002</v>
      </c>
      <c r="F18">
        <f t="shared" si="3"/>
        <v>16.574999999999999</v>
      </c>
    </row>
    <row r="19" spans="1:6">
      <c r="A19" t="s">
        <v>61</v>
      </c>
      <c r="B19">
        <f t="shared" si="0"/>
        <v>12.75</v>
      </c>
      <c r="C19" s="1">
        <v>0.15</v>
      </c>
      <c r="D19">
        <f t="shared" si="1"/>
        <v>12.75</v>
      </c>
      <c r="E19">
        <f t="shared" si="2"/>
        <v>2.5500000000000003</v>
      </c>
      <c r="F19">
        <f t="shared" si="3"/>
        <v>15.3</v>
      </c>
    </row>
    <row r="20" spans="1:6">
      <c r="A20" t="s">
        <v>62</v>
      </c>
      <c r="B20">
        <f t="shared" si="0"/>
        <v>0</v>
      </c>
      <c r="C20" s="1">
        <v>0.15</v>
      </c>
      <c r="D20">
        <f t="shared" si="1"/>
        <v>12.75</v>
      </c>
      <c r="E20">
        <f t="shared" si="2"/>
        <v>1.2750000000000001</v>
      </c>
      <c r="F20">
        <f t="shared" si="3"/>
        <v>14.025</v>
      </c>
    </row>
    <row r="21" spans="1:6">
      <c r="A21" t="s">
        <v>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4B26-A6F4-4AB4-BCDF-88636F396F99}">
  <dimension ref="A1:P17"/>
  <sheetViews>
    <sheetView workbookViewId="0">
      <selection activeCell="H3" sqref="H3:H16"/>
    </sheetView>
  </sheetViews>
  <sheetFormatPr defaultRowHeight="14.45"/>
  <cols>
    <col min="3" max="3" width="12" bestFit="1" customWidth="1"/>
    <col min="5" max="5" width="14.28515625" customWidth="1"/>
    <col min="6" max="6" width="14.5703125" customWidth="1"/>
    <col min="12" max="12" width="16.140625" customWidth="1"/>
    <col min="13" max="13" width="16.42578125" customWidth="1"/>
    <col min="14" max="14" width="10.28515625" customWidth="1"/>
    <col min="16" max="16" width="19.42578125" customWidth="1"/>
  </cols>
  <sheetData>
    <row r="1" spans="1:16" ht="14.45" customHeight="1">
      <c r="A1" s="5" t="s">
        <v>64</v>
      </c>
      <c r="B1" s="18" t="s">
        <v>65</v>
      </c>
      <c r="C1" s="19"/>
      <c r="D1" s="20"/>
      <c r="E1" s="6" t="s">
        <v>66</v>
      </c>
      <c r="F1" s="6"/>
      <c r="G1" s="6"/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5" t="s">
        <v>75</v>
      </c>
    </row>
    <row r="2" spans="1:16" ht="60.6" customHeight="1">
      <c r="A2" s="5"/>
      <c r="B2" s="6" t="s">
        <v>76</v>
      </c>
      <c r="C2" s="6" t="s">
        <v>77</v>
      </c>
      <c r="D2" s="6" t="s">
        <v>63</v>
      </c>
      <c r="E2" s="6" t="s">
        <v>19</v>
      </c>
      <c r="F2" s="6" t="s">
        <v>78</v>
      </c>
      <c r="G2" s="6" t="s">
        <v>63</v>
      </c>
      <c r="H2" s="5"/>
      <c r="I2" s="5"/>
      <c r="J2" s="5" t="s">
        <v>69</v>
      </c>
      <c r="K2" s="5"/>
      <c r="L2" s="5"/>
      <c r="M2" s="5"/>
      <c r="N2" s="5"/>
      <c r="O2" s="5"/>
      <c r="P2" s="5"/>
    </row>
    <row r="3" spans="1:16" ht="15">
      <c r="A3" s="15" t="s">
        <v>79</v>
      </c>
      <c r="B3" s="16">
        <f>steam_produced*Steam_cost/1000</f>
        <v>4.7303999999999995</v>
      </c>
      <c r="C3" s="16">
        <f>Electricity_produced*electricity_cost/1000000</f>
        <v>78.84</v>
      </c>
      <c r="D3" s="16">
        <f>SUM(B3+C3)</f>
        <v>83.570400000000006</v>
      </c>
      <c r="E3" s="16">
        <f>Gas_utilised*Gas_cost/1000000</f>
        <v>46.121400000000001</v>
      </c>
      <c r="F3" s="16">
        <v>8</v>
      </c>
      <c r="G3" s="16">
        <f>E3+F3</f>
        <v>54.121400000000001</v>
      </c>
      <c r="H3" s="16">
        <f>D3-G3</f>
        <v>29.449000000000005</v>
      </c>
      <c r="I3" s="15">
        <v>11.35</v>
      </c>
      <c r="J3" s="16">
        <f>H3-I3</f>
        <v>18.099000000000004</v>
      </c>
      <c r="K3" s="15" cm="1">
        <f t="array" ref="K3:K12">Interest</f>
        <v>8.5</v>
      </c>
      <c r="L3" s="16">
        <f>J3-K3</f>
        <v>9.5990000000000038</v>
      </c>
      <c r="M3" s="16">
        <f>H3-I3-K3</f>
        <v>9.5990000000000038</v>
      </c>
      <c r="N3" s="17">
        <f>Tax_rate</f>
        <v>0.4</v>
      </c>
      <c r="O3" s="15">
        <f>M3*N3</f>
        <v>3.8396000000000017</v>
      </c>
      <c r="P3" s="16">
        <f>H3-K3-O3</f>
        <v>17.109400000000004</v>
      </c>
    </row>
    <row r="4" spans="1:16" ht="15">
      <c r="A4" s="15" t="s">
        <v>80</v>
      </c>
      <c r="B4" s="16">
        <f>B3*(1+steam_escalation)</f>
        <v>4.96692</v>
      </c>
      <c r="C4" s="16">
        <f>C3*(1+Elec_escalation)</f>
        <v>83.570400000000006</v>
      </c>
      <c r="D4" s="16">
        <f t="shared" ref="D4:D17" si="0">SUM(B4+C4)</f>
        <v>88.537320000000008</v>
      </c>
      <c r="E4" s="16">
        <f>E3*(1+Gas_Escalation_factor)</f>
        <v>48.888684000000005</v>
      </c>
      <c r="F4" s="16">
        <f>F3*(1+oper_Escalation)</f>
        <v>8.4</v>
      </c>
      <c r="G4" s="16">
        <f t="shared" ref="G4:G17" si="1">E4+F4</f>
        <v>57.288684000000003</v>
      </c>
      <c r="H4" s="16">
        <f t="shared" ref="H4:H17" si="2">D4-G4</f>
        <v>31.248636000000005</v>
      </c>
      <c r="I4" s="15">
        <v>11.35</v>
      </c>
      <c r="J4" s="16">
        <f t="shared" ref="J4:J17" si="3">H4-I4</f>
        <v>19.898636000000003</v>
      </c>
      <c r="K4" s="15">
        <v>8.0750000000000011</v>
      </c>
      <c r="L4" s="16">
        <f t="shared" ref="L4:L17" si="4">J4-K4</f>
        <v>11.823636000000002</v>
      </c>
      <c r="M4" s="16">
        <f>H4-I4-K4</f>
        <v>11.823636000000002</v>
      </c>
      <c r="N4" s="17">
        <f>Tax_rate</f>
        <v>0.4</v>
      </c>
      <c r="O4" s="15">
        <f t="shared" ref="O4:O17" si="5">M4*N4</f>
        <v>4.7294544000000007</v>
      </c>
      <c r="P4" s="16">
        <f>H4-K4-O4</f>
        <v>18.4441816</v>
      </c>
    </row>
    <row r="5" spans="1:16" ht="15">
      <c r="A5" s="15" t="s">
        <v>81</v>
      </c>
      <c r="B5" s="16">
        <f>B4*(1+steam_escalation)</f>
        <v>5.2152660000000006</v>
      </c>
      <c r="C5" s="16">
        <f>C4*(1+Elec_escalation)</f>
        <v>88.584624000000005</v>
      </c>
      <c r="D5" s="16">
        <f t="shared" si="0"/>
        <v>93.799890000000005</v>
      </c>
      <c r="E5" s="16">
        <f>E4*(1+Gas_Escalation_factor)</f>
        <v>51.822005040000008</v>
      </c>
      <c r="F5" s="16">
        <f>F4*(1+oper_Escalation)</f>
        <v>8.82</v>
      </c>
      <c r="G5" s="16">
        <f t="shared" si="1"/>
        <v>60.642005040000008</v>
      </c>
      <c r="H5" s="16">
        <f t="shared" si="2"/>
        <v>33.157884959999997</v>
      </c>
      <c r="I5" s="15">
        <v>11.35</v>
      </c>
      <c r="J5" s="16">
        <f t="shared" si="3"/>
        <v>21.807884959999996</v>
      </c>
      <c r="K5" s="15">
        <v>7.65</v>
      </c>
      <c r="L5" s="16">
        <f t="shared" si="4"/>
        <v>14.157884959999995</v>
      </c>
      <c r="M5" s="16">
        <f>H5-I5-K5</f>
        <v>14.157884959999995</v>
      </c>
      <c r="N5" s="17">
        <f>Tax_rate</f>
        <v>0.4</v>
      </c>
      <c r="O5" s="15">
        <f t="shared" si="5"/>
        <v>5.6631539839999983</v>
      </c>
      <c r="P5" s="16">
        <f>H5-K5-O5</f>
        <v>19.844730976000001</v>
      </c>
    </row>
    <row r="6" spans="1:16" ht="15">
      <c r="A6" s="15" t="s">
        <v>82</v>
      </c>
      <c r="B6" s="16">
        <f>B5*(1+steam_escalation)</f>
        <v>5.4760293000000013</v>
      </c>
      <c r="C6" s="16">
        <f>C5*(1+Elec_escalation)</f>
        <v>93.899701440000015</v>
      </c>
      <c r="D6" s="16">
        <f t="shared" si="0"/>
        <v>99.375730740000023</v>
      </c>
      <c r="E6" s="16">
        <f>E5*(1+Gas_Escalation_factor)</f>
        <v>54.931325342400008</v>
      </c>
      <c r="F6" s="16">
        <f>F5*(1+oper_Escalation)</f>
        <v>9.261000000000001</v>
      </c>
      <c r="G6" s="16">
        <f t="shared" si="1"/>
        <v>64.192325342400011</v>
      </c>
      <c r="H6" s="16">
        <f t="shared" si="2"/>
        <v>35.183405397600012</v>
      </c>
      <c r="I6" s="15">
        <v>11.35</v>
      </c>
      <c r="J6" s="16">
        <f t="shared" si="3"/>
        <v>23.833405397600011</v>
      </c>
      <c r="K6" s="15">
        <v>7.2250000000000005</v>
      </c>
      <c r="L6" s="16">
        <f t="shared" si="4"/>
        <v>16.608405397600009</v>
      </c>
      <c r="M6" s="16">
        <f>H6-I6-K6</f>
        <v>16.608405397600009</v>
      </c>
      <c r="N6" s="17">
        <f>Tax_rate</f>
        <v>0.4</v>
      </c>
      <c r="O6" s="15">
        <f t="shared" si="5"/>
        <v>6.643362159040004</v>
      </c>
      <c r="P6" s="16">
        <f>H6-K6-O6</f>
        <v>21.315043238560008</v>
      </c>
    </row>
    <row r="7" spans="1:16" ht="15">
      <c r="A7" s="15" t="s">
        <v>83</v>
      </c>
      <c r="B7" s="16">
        <f>B6*(1+steam_escalation)</f>
        <v>5.7498307650000013</v>
      </c>
      <c r="C7" s="16">
        <f>C6*(1+Elec_escalation)</f>
        <v>99.533683526400026</v>
      </c>
      <c r="D7" s="16">
        <f t="shared" si="0"/>
        <v>105.28351429140002</v>
      </c>
      <c r="E7" s="16">
        <f>E6*(1+Gas_Escalation_factor)</f>
        <v>58.227204862944014</v>
      </c>
      <c r="F7" s="16">
        <f>F6*(1+oper_Escalation)</f>
        <v>9.7240500000000019</v>
      </c>
      <c r="G7" s="16">
        <f t="shared" si="1"/>
        <v>67.951254862944012</v>
      </c>
      <c r="H7" s="16">
        <f t="shared" si="2"/>
        <v>37.332259428456013</v>
      </c>
      <c r="I7" s="15">
        <v>11.35</v>
      </c>
      <c r="J7" s="16">
        <f t="shared" si="3"/>
        <v>25.982259428456011</v>
      </c>
      <c r="K7" s="15">
        <v>6.375</v>
      </c>
      <c r="L7" s="16">
        <f t="shared" si="4"/>
        <v>19.607259428456011</v>
      </c>
      <c r="M7" s="16">
        <f>H7-I7-K7</f>
        <v>19.607259428456011</v>
      </c>
      <c r="N7" s="17">
        <f>Tax_rate</f>
        <v>0.4</v>
      </c>
      <c r="O7" s="15">
        <f t="shared" si="5"/>
        <v>7.8429037713824048</v>
      </c>
      <c r="P7" s="16">
        <f>H7-K7-O7</f>
        <v>23.11435565707361</v>
      </c>
    </row>
    <row r="8" spans="1:16" ht="15">
      <c r="A8" s="15" t="s">
        <v>84</v>
      </c>
      <c r="B8" s="16">
        <f>B7*(1+steam_escalation)</f>
        <v>6.0373223032500016</v>
      </c>
      <c r="C8" s="16">
        <f>C7*(1+Elec_escalation)</f>
        <v>105.50570453798403</v>
      </c>
      <c r="D8" s="16">
        <f t="shared" si="0"/>
        <v>111.54302684123404</v>
      </c>
      <c r="E8" s="16">
        <f>E7*(1+Gas_Escalation_factor)</f>
        <v>61.720837154720655</v>
      </c>
      <c r="F8" s="16">
        <f>F7*(1+oper_Escalation)</f>
        <v>10.210252500000003</v>
      </c>
      <c r="G8" s="16">
        <f t="shared" si="1"/>
        <v>71.931089654720665</v>
      </c>
      <c r="H8" s="16">
        <f t="shared" si="2"/>
        <v>39.611937186513373</v>
      </c>
      <c r="I8" s="15">
        <v>11.35</v>
      </c>
      <c r="J8" s="16">
        <f t="shared" si="3"/>
        <v>28.261937186513372</v>
      </c>
      <c r="K8" s="15">
        <v>5.5250000000000004</v>
      </c>
      <c r="L8" s="16">
        <f t="shared" si="4"/>
        <v>22.736937186513373</v>
      </c>
      <c r="M8" s="16">
        <f>H8-I8-K8</f>
        <v>22.736937186513373</v>
      </c>
      <c r="N8" s="17">
        <f>Tax_rate</f>
        <v>0.4</v>
      </c>
      <c r="O8" s="15">
        <f t="shared" si="5"/>
        <v>9.0947748746053492</v>
      </c>
      <c r="P8" s="16">
        <f>H8-K8-O8</f>
        <v>24.992162311908025</v>
      </c>
    </row>
    <row r="9" spans="1:16" ht="15">
      <c r="A9" s="15" t="s">
        <v>85</v>
      </c>
      <c r="B9" s="16">
        <f>B8*(1+steam_escalation)</f>
        <v>6.339188418412502</v>
      </c>
      <c r="C9" s="16">
        <f>C8*(1+Elec_escalation)</f>
        <v>111.83604681026308</v>
      </c>
      <c r="D9" s="16">
        <f t="shared" si="0"/>
        <v>118.17523522867559</v>
      </c>
      <c r="E9" s="16">
        <f>E8*(1+Gas_Escalation_factor)</f>
        <v>65.424087384003897</v>
      </c>
      <c r="F9" s="16">
        <f>F8*(1+oper_Escalation)</f>
        <v>10.720765125000003</v>
      </c>
      <c r="G9" s="16">
        <f t="shared" si="1"/>
        <v>76.144852509003897</v>
      </c>
      <c r="H9" s="16">
        <f t="shared" si="2"/>
        <v>42.030382719671692</v>
      </c>
      <c r="I9" s="15">
        <v>11.35</v>
      </c>
      <c r="J9" s="16">
        <f t="shared" si="3"/>
        <v>30.680382719671691</v>
      </c>
      <c r="K9" s="15">
        <v>4.6749999999999998</v>
      </c>
      <c r="L9" s="16">
        <f t="shared" si="4"/>
        <v>26.00538271967169</v>
      </c>
      <c r="M9" s="16">
        <f>H9-I9-K9</f>
        <v>26.00538271967169</v>
      </c>
      <c r="N9" s="17">
        <f>Tax_rate</f>
        <v>0.4</v>
      </c>
      <c r="O9" s="15">
        <f t="shared" si="5"/>
        <v>10.402153087868676</v>
      </c>
      <c r="P9" s="16">
        <f>H9-K9-O9</f>
        <v>26.953229631803019</v>
      </c>
    </row>
    <row r="10" spans="1:16" ht="15">
      <c r="A10" s="15" t="s">
        <v>86</v>
      </c>
      <c r="B10" s="16">
        <f>B9*(1+steam_escalation)</f>
        <v>6.6561478393331273</v>
      </c>
      <c r="C10" s="16">
        <f>C9*(1+Elec_escalation)</f>
        <v>118.54620961887888</v>
      </c>
      <c r="D10" s="16">
        <f t="shared" si="0"/>
        <v>125.20235745821201</v>
      </c>
      <c r="E10" s="16">
        <f>E9*(1+Gas_Escalation_factor)</f>
        <v>69.349532627044141</v>
      </c>
      <c r="F10" s="16">
        <f>F9*(1+oper_Escalation)</f>
        <v>11.256803381250004</v>
      </c>
      <c r="G10" s="16">
        <f t="shared" si="1"/>
        <v>80.60633600829415</v>
      </c>
      <c r="H10" s="16">
        <f t="shared" si="2"/>
        <v>44.596021449917856</v>
      </c>
      <c r="I10" s="15">
        <v>11.35</v>
      </c>
      <c r="J10" s="16">
        <f t="shared" si="3"/>
        <v>33.246021449917855</v>
      </c>
      <c r="K10" s="15">
        <v>3.8250000000000002</v>
      </c>
      <c r="L10" s="16">
        <f t="shared" si="4"/>
        <v>29.421021449917856</v>
      </c>
      <c r="M10" s="16">
        <f>H10-I10-K10</f>
        <v>29.421021449917856</v>
      </c>
      <c r="N10" s="17">
        <f>Tax_rate</f>
        <v>0.4</v>
      </c>
      <c r="O10" s="15">
        <f t="shared" si="5"/>
        <v>11.768408579967144</v>
      </c>
      <c r="P10" s="16">
        <f>H10-K10-O10</f>
        <v>29.00261286995071</v>
      </c>
    </row>
    <row r="11" spans="1:16" ht="15">
      <c r="A11" s="15" t="s">
        <v>87</v>
      </c>
      <c r="B11" s="16">
        <f>B10*(1+steam_escalation)</f>
        <v>6.9889552312997836</v>
      </c>
      <c r="C11" s="16">
        <f>C10*(1+Elec_escalation)</f>
        <v>125.65898219601162</v>
      </c>
      <c r="D11" s="16">
        <f t="shared" si="0"/>
        <v>132.6479374273114</v>
      </c>
      <c r="E11" s="16">
        <f>E10*(1+Gas_Escalation_factor)</f>
        <v>73.510504584666791</v>
      </c>
      <c r="F11" s="16">
        <f>F10*(1+oper_Escalation)</f>
        <v>11.819643550312504</v>
      </c>
      <c r="G11" s="16">
        <f t="shared" si="1"/>
        <v>85.330148134979297</v>
      </c>
      <c r="H11" s="16">
        <f t="shared" si="2"/>
        <v>47.317789292332108</v>
      </c>
      <c r="I11" s="15">
        <v>11.35</v>
      </c>
      <c r="J11" s="16">
        <f t="shared" si="3"/>
        <v>35.967789292332107</v>
      </c>
      <c r="K11" s="15">
        <v>2.5500000000000003</v>
      </c>
      <c r="L11" s="16">
        <f t="shared" si="4"/>
        <v>33.41778929233211</v>
      </c>
      <c r="M11" s="16">
        <f>H11-I11-K11</f>
        <v>33.41778929233211</v>
      </c>
      <c r="N11" s="17">
        <f>Tax_rate</f>
        <v>0.4</v>
      </c>
      <c r="O11" s="15">
        <f t="shared" si="5"/>
        <v>13.367115716932844</v>
      </c>
      <c r="P11" s="16">
        <f>H11-K11-O11</f>
        <v>31.400673575399267</v>
      </c>
    </row>
    <row r="12" spans="1:16" ht="15">
      <c r="A12" s="15" t="s">
        <v>88</v>
      </c>
      <c r="B12" s="16">
        <f>B11*(1+steam_escalation)</f>
        <v>7.3384029928647729</v>
      </c>
      <c r="C12" s="16">
        <f>C11*(1+Elec_escalation)</f>
        <v>133.19852112777232</v>
      </c>
      <c r="D12" s="16">
        <f t="shared" si="0"/>
        <v>140.53692412063711</v>
      </c>
      <c r="E12" s="16">
        <f>E11*(1+Gas_Escalation_factor)</f>
        <v>77.9211348597468</v>
      </c>
      <c r="F12" s="16">
        <f>F11*(1+oper_Escalation)</f>
        <v>12.41062572782813</v>
      </c>
      <c r="G12" s="16">
        <f t="shared" si="1"/>
        <v>90.331760587574934</v>
      </c>
      <c r="H12" s="16">
        <f t="shared" si="2"/>
        <v>50.205163533062176</v>
      </c>
      <c r="I12" s="15">
        <v>11.35</v>
      </c>
      <c r="J12" s="16">
        <f t="shared" si="3"/>
        <v>38.855163533062175</v>
      </c>
      <c r="K12" s="15">
        <v>1.2750000000000001</v>
      </c>
      <c r="L12" s="16">
        <f t="shared" si="4"/>
        <v>37.580163533062176</v>
      </c>
      <c r="M12" s="16">
        <f>H12-I12-K12</f>
        <v>37.580163533062176</v>
      </c>
      <c r="N12" s="17">
        <f>Tax_rate</f>
        <v>0.4</v>
      </c>
      <c r="O12" s="15">
        <f t="shared" si="5"/>
        <v>15.032065413224871</v>
      </c>
      <c r="P12" s="16">
        <f>H12-K12-O12</f>
        <v>33.898098119837307</v>
      </c>
    </row>
    <row r="13" spans="1:16" ht="15">
      <c r="A13" s="15" t="s">
        <v>89</v>
      </c>
      <c r="B13" s="16">
        <f>B12*(1+steam_escalation)</f>
        <v>7.7053231425080115</v>
      </c>
      <c r="C13" s="16">
        <f>C12*(1+Elec_escalation)</f>
        <v>141.19043239543868</v>
      </c>
      <c r="D13" s="16">
        <f t="shared" si="0"/>
        <v>148.89575553794668</v>
      </c>
      <c r="E13" s="16">
        <f>E12*(1+Gas_Escalation_factor)</f>
        <v>82.596402951331612</v>
      </c>
      <c r="F13" s="16">
        <f>F12*(1+oper_Escalation)</f>
        <v>13.031157014219536</v>
      </c>
      <c r="G13" s="16">
        <f t="shared" si="1"/>
        <v>95.627559965551143</v>
      </c>
      <c r="H13" s="16">
        <f t="shared" si="2"/>
        <v>53.268195572395541</v>
      </c>
      <c r="I13" s="15">
        <v>0</v>
      </c>
      <c r="J13" s="16">
        <f t="shared" si="3"/>
        <v>53.268195572395541</v>
      </c>
      <c r="K13" s="15"/>
      <c r="L13" s="16">
        <f t="shared" si="4"/>
        <v>53.268195572395541</v>
      </c>
      <c r="M13" s="16">
        <f>H13-I13-K13</f>
        <v>53.268195572395541</v>
      </c>
      <c r="N13" s="17">
        <f>Tax_rate</f>
        <v>0.4</v>
      </c>
      <c r="O13" s="15">
        <f t="shared" si="5"/>
        <v>21.307278228958218</v>
      </c>
      <c r="P13" s="16">
        <f>H13-K13-O13</f>
        <v>31.960917343437323</v>
      </c>
    </row>
    <row r="14" spans="1:16" ht="15">
      <c r="A14" s="15" t="s">
        <v>90</v>
      </c>
      <c r="B14" s="16">
        <f>B13*(1+steam_escalation)</f>
        <v>8.0905892996334128</v>
      </c>
      <c r="C14" s="16">
        <f>C13*(1+Elec_escalation)</f>
        <v>149.66185833916501</v>
      </c>
      <c r="D14" s="16">
        <f t="shared" si="0"/>
        <v>157.75244763879843</v>
      </c>
      <c r="E14" s="16">
        <f>E13*(1+Gas_Escalation_factor)</f>
        <v>87.552187128411518</v>
      </c>
      <c r="F14" s="16">
        <f>F13*(1+oper_Escalation)</f>
        <v>13.682714864930514</v>
      </c>
      <c r="G14" s="16">
        <f t="shared" si="1"/>
        <v>101.23490199334204</v>
      </c>
      <c r="H14" s="16">
        <f t="shared" si="2"/>
        <v>56.517545645456394</v>
      </c>
      <c r="I14" s="15">
        <v>0</v>
      </c>
      <c r="J14" s="16">
        <f t="shared" si="3"/>
        <v>56.517545645456394</v>
      </c>
      <c r="K14" s="15"/>
      <c r="L14" s="16">
        <f t="shared" si="4"/>
        <v>56.517545645456394</v>
      </c>
      <c r="M14" s="16">
        <f>H14-I14-K14</f>
        <v>56.517545645456394</v>
      </c>
      <c r="N14" s="17">
        <f>Tax_rate</f>
        <v>0.4</v>
      </c>
      <c r="O14" s="15">
        <f t="shared" si="5"/>
        <v>22.60701825818256</v>
      </c>
      <c r="P14" s="16">
        <f>H14-K14-O14</f>
        <v>33.910527387273831</v>
      </c>
    </row>
    <row r="15" spans="1:16" ht="15">
      <c r="A15" s="15" t="s">
        <v>91</v>
      </c>
      <c r="B15" s="16">
        <f>B14*(1+steam_escalation)</f>
        <v>8.4951187646150839</v>
      </c>
      <c r="C15" s="16">
        <f>C14*(1+Elec_escalation)</f>
        <v>158.64156983951491</v>
      </c>
      <c r="D15" s="16">
        <f t="shared" si="0"/>
        <v>167.13668860413</v>
      </c>
      <c r="E15" s="16">
        <f>E14*(1+Gas_Escalation_factor)</f>
        <v>92.805318356116217</v>
      </c>
      <c r="F15" s="16">
        <f>F14*(1+oper_Escalation)</f>
        <v>14.366850608177041</v>
      </c>
      <c r="G15" s="16">
        <f t="shared" si="1"/>
        <v>107.17216896429326</v>
      </c>
      <c r="H15" s="16">
        <f t="shared" si="2"/>
        <v>59.964519639836737</v>
      </c>
      <c r="I15" s="15">
        <v>0</v>
      </c>
      <c r="J15" s="16">
        <f t="shared" si="3"/>
        <v>59.964519639836737</v>
      </c>
      <c r="K15" s="15"/>
      <c r="L15" s="16">
        <f t="shared" si="4"/>
        <v>59.964519639836737</v>
      </c>
      <c r="M15" s="16">
        <f>H15-I15-K15</f>
        <v>59.964519639836737</v>
      </c>
      <c r="N15" s="17">
        <f>Tax_rate</f>
        <v>0.4</v>
      </c>
      <c r="O15" s="15">
        <f t="shared" si="5"/>
        <v>23.985807855934695</v>
      </c>
      <c r="P15" s="16">
        <f>H15-K15-O15</f>
        <v>35.978711783902042</v>
      </c>
    </row>
    <row r="16" spans="1:16" ht="15">
      <c r="A16" s="15" t="s">
        <v>92</v>
      </c>
      <c r="B16" s="16">
        <f>B15*(1+steam_escalation)</f>
        <v>8.9198747028458385</v>
      </c>
      <c r="C16" s="16">
        <f>C15*(1+Elec_escalation)</f>
        <v>168.16006402988583</v>
      </c>
      <c r="D16" s="16">
        <f t="shared" si="0"/>
        <v>177.07993873273168</v>
      </c>
      <c r="E16" s="16">
        <f>E15*(1+Gas_Escalation_factor)</f>
        <v>98.373637457483198</v>
      </c>
      <c r="F16" s="16">
        <f>F15*(1+oper_Escalation)</f>
        <v>15.085193138585893</v>
      </c>
      <c r="G16" s="16">
        <f t="shared" si="1"/>
        <v>113.45883059606909</v>
      </c>
      <c r="H16" s="16">
        <f t="shared" si="2"/>
        <v>63.621108136662585</v>
      </c>
      <c r="I16" s="15">
        <v>0</v>
      </c>
      <c r="J16" s="16">
        <f t="shared" si="3"/>
        <v>63.621108136662585</v>
      </c>
      <c r="K16" s="15"/>
      <c r="L16" s="16">
        <f t="shared" si="4"/>
        <v>63.621108136662585</v>
      </c>
      <c r="M16" s="16">
        <f>H16-I16-K16</f>
        <v>63.621108136662585</v>
      </c>
      <c r="N16" s="17">
        <f>Tax_rate</f>
        <v>0.4</v>
      </c>
      <c r="O16" s="15">
        <f t="shared" si="5"/>
        <v>25.448443254665037</v>
      </c>
      <c r="P16" s="16">
        <f>H16-K16-O16</f>
        <v>38.172664881997548</v>
      </c>
    </row>
    <row r="17" spans="1:16" ht="15">
      <c r="A17" s="15" t="s">
        <v>93</v>
      </c>
      <c r="B17" s="16">
        <f>B16*(1+steam_escalation)</f>
        <v>9.3658684379881301</v>
      </c>
      <c r="C17" s="16">
        <f>C16*(1+Elec_escalation)</f>
        <v>178.24966787167898</v>
      </c>
      <c r="D17" s="16">
        <f t="shared" si="0"/>
        <v>187.61553630966711</v>
      </c>
      <c r="E17" s="16">
        <f>E16*(1+Gas_Escalation_factor)</f>
        <v>104.27605570493219</v>
      </c>
      <c r="F17" s="16">
        <f>F16*(1+oper_Escalation)</f>
        <v>15.839452795515189</v>
      </c>
      <c r="G17" s="16">
        <f t="shared" si="1"/>
        <v>120.11550850044738</v>
      </c>
      <c r="H17" s="16">
        <f t="shared" si="2"/>
        <v>67.500027809219731</v>
      </c>
      <c r="I17" s="15">
        <v>0</v>
      </c>
      <c r="J17" s="16">
        <f t="shared" si="3"/>
        <v>67.500027809219731</v>
      </c>
      <c r="K17" s="15"/>
      <c r="L17" s="16">
        <f t="shared" si="4"/>
        <v>67.500027809219731</v>
      </c>
      <c r="M17" s="16">
        <f>H17-I17-K17</f>
        <v>67.500027809219731</v>
      </c>
      <c r="N17" s="17">
        <f>Tax_rate</f>
        <v>0.4</v>
      </c>
      <c r="O17" s="15">
        <f t="shared" si="5"/>
        <v>27.000011123687894</v>
      </c>
      <c r="P17" s="16">
        <f>H17-K17-O17</f>
        <v>40.500016685531833</v>
      </c>
    </row>
  </sheetData>
  <mergeCells count="11">
    <mergeCell ref="B1:D1"/>
    <mergeCell ref="A1:A2"/>
    <mergeCell ref="O1:O2"/>
    <mergeCell ref="P1:P2"/>
    <mergeCell ref="H1:H2"/>
    <mergeCell ref="I1:I2"/>
    <mergeCell ref="K1:K2"/>
    <mergeCell ref="N1:N2"/>
    <mergeCell ref="J1:J2"/>
    <mergeCell ref="L1:L2"/>
    <mergeCell ref="M1:M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9E56-9B64-444A-B284-578B72E60160}">
  <dimension ref="A1:M18"/>
  <sheetViews>
    <sheetView workbookViewId="0">
      <selection activeCell="I18" sqref="I18"/>
    </sheetView>
  </sheetViews>
  <sheetFormatPr defaultRowHeight="14.45"/>
  <cols>
    <col min="5" max="6" width="14.85546875" customWidth="1"/>
    <col min="7" max="7" width="17.42578125" customWidth="1"/>
    <col min="9" max="10" width="14.42578125" customWidth="1"/>
    <col min="11" max="11" width="16.7109375" customWidth="1"/>
    <col min="12" max="12" width="12.42578125" customWidth="1"/>
    <col min="13" max="13" width="16.140625" customWidth="1"/>
  </cols>
  <sheetData>
    <row r="1" spans="1:13" ht="14.45" customHeight="1">
      <c r="A1" s="5" t="s">
        <v>64</v>
      </c>
      <c r="B1" s="5" t="s">
        <v>65</v>
      </c>
      <c r="C1" s="5"/>
      <c r="D1" s="5"/>
      <c r="E1" s="5" t="s">
        <v>66</v>
      </c>
      <c r="F1" s="5"/>
      <c r="G1" s="5"/>
      <c r="H1" s="5" t="s">
        <v>67</v>
      </c>
      <c r="I1" s="5" t="s">
        <v>94</v>
      </c>
      <c r="J1" s="5" t="s">
        <v>95</v>
      </c>
      <c r="K1" s="5" t="s">
        <v>96</v>
      </c>
      <c r="L1" s="13" t="s">
        <v>97</v>
      </c>
      <c r="M1" s="11" t="s">
        <v>98</v>
      </c>
    </row>
    <row r="2" spans="1:13" ht="14.45" customHeight="1">
      <c r="A2" s="5"/>
      <c r="B2" s="6" t="s">
        <v>76</v>
      </c>
      <c r="C2" s="6" t="s">
        <v>77</v>
      </c>
      <c r="D2" s="6" t="s">
        <v>63</v>
      </c>
      <c r="E2" s="6" t="s">
        <v>19</v>
      </c>
      <c r="F2" s="6" t="s">
        <v>78</v>
      </c>
      <c r="G2" s="6" t="s">
        <v>63</v>
      </c>
      <c r="H2" s="5"/>
      <c r="I2" s="5"/>
      <c r="J2" s="5"/>
      <c r="K2" s="5"/>
      <c r="L2" s="14"/>
      <c r="M2" s="12"/>
    </row>
    <row r="3" spans="1:13" ht="14.45" customHeight="1">
      <c r="A3" s="7" t="s">
        <v>79</v>
      </c>
      <c r="B3" s="8">
        <f>steam_produced*Steam_cost/1000</f>
        <v>4.7303999999999995</v>
      </c>
      <c r="C3" s="8">
        <f>Electricity_produced*electricity_cost/1000000</f>
        <v>78.84</v>
      </c>
      <c r="D3" s="8">
        <f>SUM(B3+C3)</f>
        <v>83.570400000000006</v>
      </c>
      <c r="E3" s="8">
        <f>Gas_utilised*Gas_cost/1000000</f>
        <v>46.121400000000001</v>
      </c>
      <c r="F3" s="8">
        <v>8</v>
      </c>
      <c r="G3" s="8">
        <f>E3+F3</f>
        <v>54.121400000000001</v>
      </c>
      <c r="H3" s="8">
        <f>D3-G3</f>
        <v>29.449000000000005</v>
      </c>
      <c r="I3" s="7" cm="1">
        <f t="array" ref="I3:I12">Debt_paid</f>
        <v>12.75</v>
      </c>
      <c r="J3" s="8" cm="1">
        <f t="array" ref="J3:J17">tax_1</f>
        <v>3.8396000000000017</v>
      </c>
      <c r="K3" s="8">
        <f>H3-I3-J3</f>
        <v>12.859400000000004</v>
      </c>
      <c r="L3" s="9">
        <v>0.5</v>
      </c>
      <c r="M3" s="8">
        <f>K3*L3</f>
        <v>6.4297000000000022</v>
      </c>
    </row>
    <row r="4" spans="1:13" ht="14.45" customHeight="1">
      <c r="A4" s="7" t="s">
        <v>80</v>
      </c>
      <c r="B4" s="8">
        <f>B3*(1+steam_escalation)</f>
        <v>4.96692</v>
      </c>
      <c r="C4" s="8">
        <f>C3*(1+Elec_escalation)</f>
        <v>83.570400000000006</v>
      </c>
      <c r="D4" s="8">
        <f t="shared" ref="D4:D17" si="0">SUM(B4+C4)</f>
        <v>88.537320000000008</v>
      </c>
      <c r="E4" s="8">
        <f>E3*(1+Gas_Escalation_factor)</f>
        <v>48.888684000000005</v>
      </c>
      <c r="F4" s="8">
        <f>F3*(1+oper_Escalation)</f>
        <v>8.4</v>
      </c>
      <c r="G4" s="8">
        <f t="shared" ref="G4:G17" si="1">E4+F4</f>
        <v>57.288684000000003</v>
      </c>
      <c r="H4" s="8">
        <f t="shared" ref="H4:H17" si="2">D4-G4</f>
        <v>31.248636000000005</v>
      </c>
      <c r="I4" s="7">
        <v>12.325000000000001</v>
      </c>
      <c r="J4" s="8">
        <v>4.7294544000000007</v>
      </c>
      <c r="K4" s="8">
        <f t="shared" ref="K4:K17" si="3">H4-I4-J4</f>
        <v>14.1941816</v>
      </c>
      <c r="L4" s="9">
        <v>0.5</v>
      </c>
      <c r="M4" s="8">
        <f t="shared" ref="M4:M17" si="4">K4*L4</f>
        <v>7.0970908000000001</v>
      </c>
    </row>
    <row r="5" spans="1:13" ht="14.45" customHeight="1">
      <c r="A5" s="7" t="s">
        <v>81</v>
      </c>
      <c r="B5" s="8">
        <f>B4*(1+steam_escalation)</f>
        <v>5.2152660000000006</v>
      </c>
      <c r="C5" s="8">
        <f>C4*(1+Elec_escalation)</f>
        <v>88.584624000000005</v>
      </c>
      <c r="D5" s="8">
        <f t="shared" si="0"/>
        <v>93.799890000000005</v>
      </c>
      <c r="E5" s="8">
        <f>E4*(1+Gas_Escalation_factor)</f>
        <v>51.822005040000008</v>
      </c>
      <c r="F5" s="8">
        <f>F4*(1+oper_Escalation)</f>
        <v>8.82</v>
      </c>
      <c r="G5" s="8">
        <f t="shared" si="1"/>
        <v>60.642005040000008</v>
      </c>
      <c r="H5" s="8">
        <f t="shared" si="2"/>
        <v>33.157884959999997</v>
      </c>
      <c r="I5" s="7">
        <v>11.9</v>
      </c>
      <c r="J5" s="8">
        <v>5.6631539839999983</v>
      </c>
      <c r="K5" s="8">
        <f t="shared" si="3"/>
        <v>15.594730976000001</v>
      </c>
      <c r="L5" s="9">
        <v>0.28000000000000003</v>
      </c>
      <c r="M5" s="8">
        <f t="shared" si="4"/>
        <v>4.3665246732800007</v>
      </c>
    </row>
    <row r="6" spans="1:13" ht="14.45" customHeight="1">
      <c r="A6" s="7" t="s">
        <v>82</v>
      </c>
      <c r="B6" s="8">
        <f>B5*(1+steam_escalation)</f>
        <v>5.4760293000000013</v>
      </c>
      <c r="C6" s="8">
        <f>C5*(1+Elec_escalation)</f>
        <v>93.899701440000015</v>
      </c>
      <c r="D6" s="8">
        <f t="shared" si="0"/>
        <v>99.375730740000023</v>
      </c>
      <c r="E6" s="8">
        <f>E5*(1+Gas_Escalation_factor)</f>
        <v>54.931325342400008</v>
      </c>
      <c r="F6" s="8">
        <f>F5*(1+oper_Escalation)</f>
        <v>9.261000000000001</v>
      </c>
      <c r="G6" s="8">
        <f t="shared" si="1"/>
        <v>64.192325342400011</v>
      </c>
      <c r="H6" s="8">
        <f t="shared" si="2"/>
        <v>35.183405397600012</v>
      </c>
      <c r="I6" s="7">
        <v>15.725000000000001</v>
      </c>
      <c r="J6" s="8">
        <v>6.643362159040004</v>
      </c>
      <c r="K6" s="8">
        <f t="shared" si="3"/>
        <v>12.815043238560007</v>
      </c>
      <c r="L6" s="9">
        <v>0.28000000000000003</v>
      </c>
      <c r="M6" s="8">
        <f t="shared" si="4"/>
        <v>3.588212106796802</v>
      </c>
    </row>
    <row r="7" spans="1:13" ht="14.45" customHeight="1">
      <c r="A7" s="7" t="s">
        <v>83</v>
      </c>
      <c r="B7" s="8">
        <f>B6*(1+steam_escalation)</f>
        <v>5.7498307650000013</v>
      </c>
      <c r="C7" s="8">
        <f>C6*(1+Elec_escalation)</f>
        <v>99.533683526400026</v>
      </c>
      <c r="D7" s="8">
        <f t="shared" si="0"/>
        <v>105.28351429140002</v>
      </c>
      <c r="E7" s="8">
        <f>E6*(1+Gas_Escalation_factor)</f>
        <v>58.227204862944014</v>
      </c>
      <c r="F7" s="8">
        <f>F6*(1+oper_Escalation)</f>
        <v>9.7240500000000019</v>
      </c>
      <c r="G7" s="8">
        <f t="shared" si="1"/>
        <v>67.951254862944012</v>
      </c>
      <c r="H7" s="8">
        <f t="shared" si="2"/>
        <v>37.332259428456013</v>
      </c>
      <c r="I7" s="7">
        <v>14.875</v>
      </c>
      <c r="J7" s="8">
        <v>7.8429037713824048</v>
      </c>
      <c r="K7" s="8">
        <f t="shared" si="3"/>
        <v>14.614355657073608</v>
      </c>
      <c r="L7" s="9">
        <v>0.28000000000000003</v>
      </c>
      <c r="M7" s="8">
        <f t="shared" si="4"/>
        <v>4.0920195839806102</v>
      </c>
    </row>
    <row r="8" spans="1:13" ht="14.45" customHeight="1">
      <c r="A8" s="7" t="s">
        <v>84</v>
      </c>
      <c r="B8" s="8">
        <f>B7*(1+steam_escalation)</f>
        <v>6.0373223032500016</v>
      </c>
      <c r="C8" s="8">
        <f>C7*(1+Elec_escalation)</f>
        <v>105.50570453798403</v>
      </c>
      <c r="D8" s="8">
        <f t="shared" si="0"/>
        <v>111.54302684123404</v>
      </c>
      <c r="E8" s="8">
        <f>E7*(1+Gas_Escalation_factor)</f>
        <v>61.720837154720655</v>
      </c>
      <c r="F8" s="8">
        <f>F7*(1+oper_Escalation)</f>
        <v>10.210252500000003</v>
      </c>
      <c r="G8" s="8">
        <f t="shared" si="1"/>
        <v>71.931089654720665</v>
      </c>
      <c r="H8" s="8">
        <f t="shared" si="2"/>
        <v>39.611937186513373</v>
      </c>
      <c r="I8" s="7">
        <v>14.025</v>
      </c>
      <c r="J8" s="8">
        <v>9.0947748746053492</v>
      </c>
      <c r="K8" s="8">
        <f t="shared" si="3"/>
        <v>16.492162311908025</v>
      </c>
      <c r="L8" s="9">
        <v>0.28000000000000003</v>
      </c>
      <c r="M8" s="8">
        <f t="shared" si="4"/>
        <v>4.6178054473342476</v>
      </c>
    </row>
    <row r="9" spans="1:13" ht="14.45" customHeight="1">
      <c r="A9" s="7" t="s">
        <v>85</v>
      </c>
      <c r="B9" s="8">
        <f>B8*(1+steam_escalation)</f>
        <v>6.339188418412502</v>
      </c>
      <c r="C9" s="8">
        <f>C8*(1+Elec_escalation)</f>
        <v>111.83604681026308</v>
      </c>
      <c r="D9" s="8">
        <f t="shared" si="0"/>
        <v>118.17523522867559</v>
      </c>
      <c r="E9" s="8">
        <f>E8*(1+Gas_Escalation_factor)</f>
        <v>65.424087384003897</v>
      </c>
      <c r="F9" s="8">
        <f>F8*(1+oper_Escalation)</f>
        <v>10.720765125000003</v>
      </c>
      <c r="G9" s="8">
        <f t="shared" si="1"/>
        <v>76.144852509003897</v>
      </c>
      <c r="H9" s="8">
        <f t="shared" si="2"/>
        <v>42.030382719671692</v>
      </c>
      <c r="I9" s="7">
        <v>13.175000000000001</v>
      </c>
      <c r="J9" s="8">
        <v>10.402153087868676</v>
      </c>
      <c r="K9" s="8">
        <f t="shared" si="3"/>
        <v>18.453229631803016</v>
      </c>
      <c r="L9" s="9">
        <v>0.28000000000000003</v>
      </c>
      <c r="M9" s="8">
        <f t="shared" si="4"/>
        <v>5.1669042969048444</v>
      </c>
    </row>
    <row r="10" spans="1:13" ht="14.45" customHeight="1">
      <c r="A10" s="7" t="s">
        <v>86</v>
      </c>
      <c r="B10" s="8">
        <f>B9*(1+steam_escalation)</f>
        <v>6.6561478393331273</v>
      </c>
      <c r="C10" s="8">
        <f>C9*(1+Elec_escalation)</f>
        <v>118.54620961887888</v>
      </c>
      <c r="D10" s="8">
        <f t="shared" si="0"/>
        <v>125.20235745821201</v>
      </c>
      <c r="E10" s="8">
        <f>E9*(1+Gas_Escalation_factor)</f>
        <v>69.349532627044141</v>
      </c>
      <c r="F10" s="8">
        <f>F9*(1+oper_Escalation)</f>
        <v>11.256803381250004</v>
      </c>
      <c r="G10" s="8">
        <f t="shared" si="1"/>
        <v>80.60633600829415</v>
      </c>
      <c r="H10" s="8">
        <f t="shared" si="2"/>
        <v>44.596021449917856</v>
      </c>
      <c r="I10" s="7">
        <v>16.574999999999999</v>
      </c>
      <c r="J10" s="8">
        <v>11.768408579967144</v>
      </c>
      <c r="K10" s="8">
        <f t="shared" si="3"/>
        <v>16.252612869950713</v>
      </c>
      <c r="L10" s="9">
        <v>0.28000000000000003</v>
      </c>
      <c r="M10" s="8">
        <f t="shared" si="4"/>
        <v>4.5507316035862004</v>
      </c>
    </row>
    <row r="11" spans="1:13" ht="14.45" customHeight="1">
      <c r="A11" s="7" t="s">
        <v>87</v>
      </c>
      <c r="B11" s="8">
        <f>B10*(1+steam_escalation)</f>
        <v>6.9889552312997836</v>
      </c>
      <c r="C11" s="8">
        <f>C10*(1+Elec_escalation)</f>
        <v>125.65898219601162</v>
      </c>
      <c r="D11" s="8">
        <f t="shared" si="0"/>
        <v>132.6479374273114</v>
      </c>
      <c r="E11" s="8">
        <f>E10*(1+Gas_Escalation_factor)</f>
        <v>73.510504584666791</v>
      </c>
      <c r="F11" s="8">
        <f>F10*(1+oper_Escalation)</f>
        <v>11.819643550312504</v>
      </c>
      <c r="G11" s="8">
        <f t="shared" si="1"/>
        <v>85.330148134979297</v>
      </c>
      <c r="H11" s="8">
        <f t="shared" si="2"/>
        <v>47.317789292332108</v>
      </c>
      <c r="I11" s="7">
        <v>15.3</v>
      </c>
      <c r="J11" s="8">
        <v>13.367115716932844</v>
      </c>
      <c r="K11" s="8">
        <f t="shared" si="3"/>
        <v>18.650673575399267</v>
      </c>
      <c r="L11" s="9">
        <v>0.28000000000000003</v>
      </c>
      <c r="M11" s="8">
        <f t="shared" si="4"/>
        <v>5.2221886011117951</v>
      </c>
    </row>
    <row r="12" spans="1:13" ht="14.45" customHeight="1">
      <c r="A12" s="7" t="s">
        <v>88</v>
      </c>
      <c r="B12" s="8">
        <f>B11*(1+steam_escalation)</f>
        <v>7.3384029928647729</v>
      </c>
      <c r="C12" s="8">
        <f>C11*(1+Elec_escalation)</f>
        <v>133.19852112777232</v>
      </c>
      <c r="D12" s="8">
        <f t="shared" si="0"/>
        <v>140.53692412063711</v>
      </c>
      <c r="E12" s="8">
        <f>E11*(1+Gas_Escalation_factor)</f>
        <v>77.9211348597468</v>
      </c>
      <c r="F12" s="8">
        <f>F11*(1+oper_Escalation)</f>
        <v>12.41062572782813</v>
      </c>
      <c r="G12" s="8">
        <f t="shared" si="1"/>
        <v>90.331760587574934</v>
      </c>
      <c r="H12" s="8">
        <f t="shared" si="2"/>
        <v>50.205163533062176</v>
      </c>
      <c r="I12" s="7">
        <v>14.025</v>
      </c>
      <c r="J12" s="8">
        <v>15.032065413224871</v>
      </c>
      <c r="K12" s="8">
        <f t="shared" si="3"/>
        <v>21.148098119837307</v>
      </c>
      <c r="L12" s="9">
        <v>0.28000000000000003</v>
      </c>
      <c r="M12" s="8">
        <f t="shared" si="4"/>
        <v>5.921467473554447</v>
      </c>
    </row>
    <row r="13" spans="1:13" ht="14.45" customHeight="1">
      <c r="A13" s="7" t="s">
        <v>89</v>
      </c>
      <c r="B13" s="8">
        <f>B12*(1+steam_escalation)</f>
        <v>7.7053231425080115</v>
      </c>
      <c r="C13" s="8">
        <f>C12*(1+Elec_escalation)</f>
        <v>141.19043239543868</v>
      </c>
      <c r="D13" s="8">
        <f t="shared" si="0"/>
        <v>148.89575553794668</v>
      </c>
      <c r="E13" s="8">
        <f>E12*(1+Gas_Escalation_factor)</f>
        <v>82.596402951331612</v>
      </c>
      <c r="F13" s="8">
        <f>F12*(1+oper_Escalation)</f>
        <v>13.031157014219536</v>
      </c>
      <c r="G13" s="8">
        <f t="shared" si="1"/>
        <v>95.627559965551143</v>
      </c>
      <c r="H13" s="8">
        <f t="shared" si="2"/>
        <v>53.268195572395541</v>
      </c>
      <c r="I13" s="7"/>
      <c r="J13" s="8">
        <v>21.307278228958218</v>
      </c>
      <c r="K13" s="8">
        <f t="shared" si="3"/>
        <v>31.960917343437323</v>
      </c>
      <c r="L13" s="9">
        <v>0.28000000000000003</v>
      </c>
      <c r="M13" s="8">
        <f t="shared" si="4"/>
        <v>8.9490568561624517</v>
      </c>
    </row>
    <row r="14" spans="1:13" ht="14.45" customHeight="1">
      <c r="A14" s="7" t="s">
        <v>90</v>
      </c>
      <c r="B14" s="8">
        <f>B13*(1+steam_escalation)</f>
        <v>8.0905892996334128</v>
      </c>
      <c r="C14" s="8">
        <f>C13*(1+Elec_escalation)</f>
        <v>149.66185833916501</v>
      </c>
      <c r="D14" s="8">
        <f t="shared" si="0"/>
        <v>157.75244763879843</v>
      </c>
      <c r="E14" s="8">
        <f>E13*(1+Gas_Escalation_factor)</f>
        <v>87.552187128411518</v>
      </c>
      <c r="F14" s="8">
        <f>F13*(1+oper_Escalation)</f>
        <v>13.682714864930514</v>
      </c>
      <c r="G14" s="8">
        <f t="shared" si="1"/>
        <v>101.23490199334204</v>
      </c>
      <c r="H14" s="8">
        <f t="shared" si="2"/>
        <v>56.517545645456394</v>
      </c>
      <c r="I14" s="7"/>
      <c r="J14" s="8">
        <v>22.60701825818256</v>
      </c>
      <c r="K14" s="8">
        <f t="shared" si="3"/>
        <v>33.910527387273831</v>
      </c>
      <c r="L14" s="9">
        <v>0.28000000000000003</v>
      </c>
      <c r="M14" s="8">
        <f t="shared" si="4"/>
        <v>9.4949476684366729</v>
      </c>
    </row>
    <row r="15" spans="1:13" ht="14.45" customHeight="1">
      <c r="A15" s="7" t="s">
        <v>91</v>
      </c>
      <c r="B15" s="8">
        <f>B14*(1+steam_escalation)</f>
        <v>8.4951187646150839</v>
      </c>
      <c r="C15" s="8">
        <f>C14*(1+Elec_escalation)</f>
        <v>158.64156983951491</v>
      </c>
      <c r="D15" s="8">
        <f t="shared" si="0"/>
        <v>167.13668860413</v>
      </c>
      <c r="E15" s="8">
        <f>E14*(1+Gas_Escalation_factor)</f>
        <v>92.805318356116217</v>
      </c>
      <c r="F15" s="8">
        <f>F14*(1+oper_Escalation)</f>
        <v>14.366850608177041</v>
      </c>
      <c r="G15" s="8">
        <f t="shared" si="1"/>
        <v>107.17216896429326</v>
      </c>
      <c r="H15" s="8">
        <f t="shared" si="2"/>
        <v>59.964519639836737</v>
      </c>
      <c r="I15" s="7"/>
      <c r="J15" s="8">
        <v>23.985807855934695</v>
      </c>
      <c r="K15" s="8">
        <f t="shared" si="3"/>
        <v>35.978711783902042</v>
      </c>
      <c r="L15" s="9">
        <v>0.28000000000000003</v>
      </c>
      <c r="M15" s="8">
        <f t="shared" si="4"/>
        <v>10.074039299492572</v>
      </c>
    </row>
    <row r="16" spans="1:13" ht="14.45" customHeight="1">
      <c r="A16" s="7" t="s">
        <v>92</v>
      </c>
      <c r="B16" s="8">
        <f>B15*(1+steam_escalation)</f>
        <v>8.9198747028458385</v>
      </c>
      <c r="C16" s="8">
        <f>C15*(1+Elec_escalation)</f>
        <v>168.16006402988583</v>
      </c>
      <c r="D16" s="8">
        <f t="shared" si="0"/>
        <v>177.07993873273168</v>
      </c>
      <c r="E16" s="8">
        <f>E15*(1+Gas_Escalation_factor)</f>
        <v>98.373637457483198</v>
      </c>
      <c r="F16" s="8">
        <f>F15*(1+oper_Escalation)</f>
        <v>15.085193138585893</v>
      </c>
      <c r="G16" s="8">
        <f t="shared" si="1"/>
        <v>113.45883059606909</v>
      </c>
      <c r="H16" s="8">
        <f t="shared" si="2"/>
        <v>63.621108136662585</v>
      </c>
      <c r="I16" s="7"/>
      <c r="J16" s="8">
        <v>25.448443254665037</v>
      </c>
      <c r="K16" s="8">
        <f t="shared" si="3"/>
        <v>38.172664881997548</v>
      </c>
      <c r="L16" s="9">
        <v>0.28000000000000003</v>
      </c>
      <c r="M16" s="8">
        <f t="shared" si="4"/>
        <v>10.688346166959315</v>
      </c>
    </row>
    <row r="17" spans="1:13" ht="14.45" customHeight="1">
      <c r="A17" s="7" t="s">
        <v>93</v>
      </c>
      <c r="B17" s="8">
        <f>B16*(1+steam_escalation)</f>
        <v>9.3658684379881301</v>
      </c>
      <c r="C17" s="8">
        <f>C16*(1+Elec_escalation)</f>
        <v>178.24966787167898</v>
      </c>
      <c r="D17" s="8">
        <f t="shared" si="0"/>
        <v>187.61553630966711</v>
      </c>
      <c r="E17" s="8">
        <f>E16*(1+Gas_Escalation_factor)</f>
        <v>104.27605570493219</v>
      </c>
      <c r="F17" s="8">
        <f>F16*(1+oper_Escalation)</f>
        <v>15.839452795515189</v>
      </c>
      <c r="G17" s="8">
        <f t="shared" si="1"/>
        <v>120.11550850044738</v>
      </c>
      <c r="H17" s="8">
        <f t="shared" si="2"/>
        <v>67.500027809219731</v>
      </c>
      <c r="I17" s="7"/>
      <c r="J17" s="8">
        <v>27.000011123687894</v>
      </c>
      <c r="K17" s="8">
        <f t="shared" si="3"/>
        <v>40.500016685531833</v>
      </c>
      <c r="L17" s="9">
        <v>0.28000000000000003</v>
      </c>
      <c r="M17" s="8">
        <f t="shared" si="4"/>
        <v>11.340004671948915</v>
      </c>
    </row>
    <row r="18" spans="1:13" ht="15"/>
  </sheetData>
  <mergeCells count="9">
    <mergeCell ref="A1:A2"/>
    <mergeCell ref="K1:K2"/>
    <mergeCell ref="L1:L2"/>
    <mergeCell ref="M1:M2"/>
    <mergeCell ref="B1:D1"/>
    <mergeCell ref="E1:G1"/>
    <mergeCell ref="H1:H2"/>
    <mergeCell ref="I1:I2"/>
    <mergeCell ref="J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6A5F-212C-4834-8145-20F974C00A33}">
  <dimension ref="A1:M17"/>
  <sheetViews>
    <sheetView workbookViewId="0">
      <selection activeCell="M1" sqref="M1:M2"/>
    </sheetView>
  </sheetViews>
  <sheetFormatPr defaultRowHeight="15"/>
  <cols>
    <col min="2" max="2" width="6.28515625" bestFit="1" customWidth="1"/>
    <col min="5" max="5" width="8.7109375" bestFit="1" customWidth="1"/>
    <col min="6" max="6" width="14.85546875" customWidth="1"/>
    <col min="9" max="9" width="16.28515625" customWidth="1"/>
    <col min="10" max="10" width="14.7109375" customWidth="1"/>
    <col min="11" max="11" width="17.5703125" customWidth="1"/>
    <col min="12" max="12" width="10.85546875" customWidth="1"/>
    <col min="13" max="13" width="18" customWidth="1"/>
  </cols>
  <sheetData>
    <row r="1" spans="1:13">
      <c r="A1" s="5" t="s">
        <v>64</v>
      </c>
      <c r="B1" s="5" t="s">
        <v>65</v>
      </c>
      <c r="C1" s="5"/>
      <c r="D1" s="5"/>
      <c r="E1" s="5" t="s">
        <v>66</v>
      </c>
      <c r="F1" s="5"/>
      <c r="G1" s="5"/>
      <c r="H1" s="5" t="s">
        <v>67</v>
      </c>
      <c r="I1" s="5" t="s">
        <v>94</v>
      </c>
      <c r="J1" s="5" t="s">
        <v>95</v>
      </c>
      <c r="K1" s="5" t="s">
        <v>99</v>
      </c>
      <c r="L1" s="10" t="s">
        <v>97</v>
      </c>
      <c r="M1" s="5" t="s">
        <v>98</v>
      </c>
    </row>
    <row r="2" spans="1:13">
      <c r="A2" s="5"/>
      <c r="B2" s="6" t="s">
        <v>76</v>
      </c>
      <c r="C2" s="6" t="s">
        <v>77</v>
      </c>
      <c r="D2" s="6" t="s">
        <v>63</v>
      </c>
      <c r="E2" s="6" t="s">
        <v>19</v>
      </c>
      <c r="F2" s="6" t="s">
        <v>78</v>
      </c>
      <c r="G2" s="6" t="s">
        <v>63</v>
      </c>
      <c r="H2" s="5"/>
      <c r="I2" s="5"/>
      <c r="J2" s="5"/>
      <c r="K2" s="5"/>
      <c r="L2" s="5"/>
      <c r="M2" s="5"/>
    </row>
    <row r="3" spans="1:13">
      <c r="A3" s="7" t="s">
        <v>79</v>
      </c>
      <c r="B3" s="8">
        <f>steam_produced*Steam_cost/1000</f>
        <v>4.7303999999999995</v>
      </c>
      <c r="C3" s="8">
        <f>Electricity_produced*electricity_cost/1000000</f>
        <v>78.84</v>
      </c>
      <c r="D3" s="8">
        <f>SUM(B3+C3)</f>
        <v>83.570400000000006</v>
      </c>
      <c r="E3" s="8">
        <f>Gas_utilised*Gas_cost/1000000</f>
        <v>46.121400000000001</v>
      </c>
      <c r="F3" s="8">
        <v>8</v>
      </c>
      <c r="G3" s="8">
        <f>E3+F3</f>
        <v>54.121400000000001</v>
      </c>
      <c r="H3" s="8">
        <f>D3-G3</f>
        <v>29.449000000000005</v>
      </c>
      <c r="I3" s="7" cm="1">
        <f t="array" ref="I3:I12">Debt_paid</f>
        <v>12.75</v>
      </c>
      <c r="J3" s="8" cm="1">
        <f t="array" ref="J3:J17">tax_1</f>
        <v>3.8396000000000017</v>
      </c>
      <c r="K3" s="8">
        <f>H3-I3-J3</f>
        <v>12.859400000000004</v>
      </c>
      <c r="L3" s="9">
        <v>0.5</v>
      </c>
      <c r="M3" s="8">
        <f>K3*L3</f>
        <v>6.4297000000000022</v>
      </c>
    </row>
    <row r="4" spans="1:13">
      <c r="A4" s="7" t="s">
        <v>80</v>
      </c>
      <c r="B4" s="8">
        <f>B3*(1+steam_escalation)</f>
        <v>4.96692</v>
      </c>
      <c r="C4" s="8">
        <f>C3*(1+Elec_escalation)</f>
        <v>83.570400000000006</v>
      </c>
      <c r="D4" s="8">
        <f t="shared" ref="D4:D17" si="0">SUM(B4+C4)</f>
        <v>88.537320000000008</v>
      </c>
      <c r="E4" s="8">
        <f>E3*(1+Gas_Escalation_factor)</f>
        <v>48.888684000000005</v>
      </c>
      <c r="F4" s="8">
        <f>F3*(1+oper_Escalation)</f>
        <v>8.4</v>
      </c>
      <c r="G4" s="8">
        <f t="shared" ref="G4:G17" si="1">E4+F4</f>
        <v>57.288684000000003</v>
      </c>
      <c r="H4" s="8">
        <f t="shared" ref="H4:H17" si="2">D4-G4</f>
        <v>31.248636000000005</v>
      </c>
      <c r="I4" s="7">
        <v>12.325000000000001</v>
      </c>
      <c r="J4" s="8">
        <v>4.7294544000000007</v>
      </c>
      <c r="K4" s="8">
        <f t="shared" ref="K4:K17" si="3">H4-I4-J4</f>
        <v>14.1941816</v>
      </c>
      <c r="L4" s="9">
        <v>0.5</v>
      </c>
      <c r="M4" s="8">
        <f t="shared" ref="M4:M17" si="4">K4*L4</f>
        <v>7.0970908000000001</v>
      </c>
    </row>
    <row r="5" spans="1:13">
      <c r="A5" s="7" t="s">
        <v>81</v>
      </c>
      <c r="B5" s="8">
        <f>B4*(1+steam_escalation)</f>
        <v>5.2152660000000006</v>
      </c>
      <c r="C5" s="8">
        <f>C4*(1+Elec_escalation)</f>
        <v>88.584624000000005</v>
      </c>
      <c r="D5" s="8">
        <f t="shared" si="0"/>
        <v>93.799890000000005</v>
      </c>
      <c r="E5" s="8">
        <f>E4*(1+Gas_Escalation_factor)</f>
        <v>51.822005040000008</v>
      </c>
      <c r="F5" s="8">
        <f>F4*(1+oper_Escalation)</f>
        <v>8.82</v>
      </c>
      <c r="G5" s="8">
        <f t="shared" si="1"/>
        <v>60.642005040000008</v>
      </c>
      <c r="H5" s="8">
        <f t="shared" si="2"/>
        <v>33.157884959999997</v>
      </c>
      <c r="I5" s="7">
        <v>11.9</v>
      </c>
      <c r="J5" s="8">
        <v>5.6631539839999983</v>
      </c>
      <c r="K5" s="8">
        <f t="shared" si="3"/>
        <v>15.594730976000001</v>
      </c>
      <c r="L5" s="9">
        <v>0.72</v>
      </c>
      <c r="M5" s="8">
        <f t="shared" si="4"/>
        <v>11.22820630272</v>
      </c>
    </row>
    <row r="6" spans="1:13">
      <c r="A6" s="7" t="s">
        <v>82</v>
      </c>
      <c r="B6" s="8">
        <f>B5*(1+steam_escalation)</f>
        <v>5.4760293000000013</v>
      </c>
      <c r="C6" s="8">
        <f>C5*(1+Elec_escalation)</f>
        <v>93.899701440000015</v>
      </c>
      <c r="D6" s="8">
        <f t="shared" si="0"/>
        <v>99.375730740000023</v>
      </c>
      <c r="E6" s="8">
        <f>E5*(1+Gas_Escalation_factor)</f>
        <v>54.931325342400008</v>
      </c>
      <c r="F6" s="8">
        <f>F5*(1+oper_Escalation)</f>
        <v>9.261000000000001</v>
      </c>
      <c r="G6" s="8">
        <f t="shared" si="1"/>
        <v>64.192325342400011</v>
      </c>
      <c r="H6" s="8">
        <f t="shared" si="2"/>
        <v>35.183405397600012</v>
      </c>
      <c r="I6" s="7">
        <v>15.725000000000001</v>
      </c>
      <c r="J6" s="8">
        <v>6.643362159040004</v>
      </c>
      <c r="K6" s="8">
        <f t="shared" si="3"/>
        <v>12.815043238560007</v>
      </c>
      <c r="L6" s="9">
        <v>0.72</v>
      </c>
      <c r="M6" s="8">
        <f t="shared" si="4"/>
        <v>9.2268311317632037</v>
      </c>
    </row>
    <row r="7" spans="1:13">
      <c r="A7" s="7" t="s">
        <v>83</v>
      </c>
      <c r="B7" s="8">
        <f>B6*(1+steam_escalation)</f>
        <v>5.7498307650000013</v>
      </c>
      <c r="C7" s="8">
        <f>C6*(1+Elec_escalation)</f>
        <v>99.533683526400026</v>
      </c>
      <c r="D7" s="8">
        <f t="shared" si="0"/>
        <v>105.28351429140002</v>
      </c>
      <c r="E7" s="8">
        <f>E6*(1+Gas_Escalation_factor)</f>
        <v>58.227204862944014</v>
      </c>
      <c r="F7" s="8">
        <f>F6*(1+oper_Escalation)</f>
        <v>9.7240500000000019</v>
      </c>
      <c r="G7" s="8">
        <f t="shared" si="1"/>
        <v>67.951254862944012</v>
      </c>
      <c r="H7" s="8">
        <f t="shared" si="2"/>
        <v>37.332259428456013</v>
      </c>
      <c r="I7" s="7">
        <v>14.875</v>
      </c>
      <c r="J7" s="8">
        <v>7.8429037713824048</v>
      </c>
      <c r="K7" s="8">
        <f t="shared" si="3"/>
        <v>14.614355657073608</v>
      </c>
      <c r="L7" s="9">
        <v>0.72</v>
      </c>
      <c r="M7" s="8">
        <f t="shared" si="4"/>
        <v>10.522336073092998</v>
      </c>
    </row>
    <row r="8" spans="1:13">
      <c r="A8" s="7" t="s">
        <v>84</v>
      </c>
      <c r="B8" s="8">
        <f>B7*(1+steam_escalation)</f>
        <v>6.0373223032500016</v>
      </c>
      <c r="C8" s="8">
        <f>C7*(1+Elec_escalation)</f>
        <v>105.50570453798403</v>
      </c>
      <c r="D8" s="8">
        <f t="shared" si="0"/>
        <v>111.54302684123404</v>
      </c>
      <c r="E8" s="8">
        <f>E7*(1+Gas_Escalation_factor)</f>
        <v>61.720837154720655</v>
      </c>
      <c r="F8" s="8">
        <f>F7*(1+oper_Escalation)</f>
        <v>10.210252500000003</v>
      </c>
      <c r="G8" s="8">
        <f t="shared" si="1"/>
        <v>71.931089654720665</v>
      </c>
      <c r="H8" s="8">
        <f t="shared" si="2"/>
        <v>39.611937186513373</v>
      </c>
      <c r="I8" s="7">
        <v>14.025</v>
      </c>
      <c r="J8" s="8">
        <v>9.0947748746053492</v>
      </c>
      <c r="K8" s="8">
        <f t="shared" si="3"/>
        <v>16.492162311908025</v>
      </c>
      <c r="L8" s="9">
        <v>0.72</v>
      </c>
      <c r="M8" s="8">
        <f t="shared" si="4"/>
        <v>11.874356864573778</v>
      </c>
    </row>
    <row r="9" spans="1:13">
      <c r="A9" s="7" t="s">
        <v>85</v>
      </c>
      <c r="B9" s="8">
        <f>B8*(1+steam_escalation)</f>
        <v>6.339188418412502</v>
      </c>
      <c r="C9" s="8">
        <f>C8*(1+Elec_escalation)</f>
        <v>111.83604681026308</v>
      </c>
      <c r="D9" s="8">
        <f t="shared" si="0"/>
        <v>118.17523522867559</v>
      </c>
      <c r="E9" s="8">
        <f>E8*(1+Gas_Escalation_factor)</f>
        <v>65.424087384003897</v>
      </c>
      <c r="F9" s="8">
        <f>F8*(1+oper_Escalation)</f>
        <v>10.720765125000003</v>
      </c>
      <c r="G9" s="8">
        <f t="shared" si="1"/>
        <v>76.144852509003897</v>
      </c>
      <c r="H9" s="8">
        <f t="shared" si="2"/>
        <v>42.030382719671692</v>
      </c>
      <c r="I9" s="7">
        <v>13.175000000000001</v>
      </c>
      <c r="J9" s="8">
        <v>10.402153087868676</v>
      </c>
      <c r="K9" s="8">
        <f t="shared" si="3"/>
        <v>18.453229631803016</v>
      </c>
      <c r="L9" s="9">
        <v>0.72</v>
      </c>
      <c r="M9" s="8">
        <f t="shared" si="4"/>
        <v>13.286325334898171</v>
      </c>
    </row>
    <row r="10" spans="1:13">
      <c r="A10" s="7" t="s">
        <v>86</v>
      </c>
      <c r="B10" s="8">
        <f>B9*(1+steam_escalation)</f>
        <v>6.6561478393331273</v>
      </c>
      <c r="C10" s="8">
        <f>C9*(1+Elec_escalation)</f>
        <v>118.54620961887888</v>
      </c>
      <c r="D10" s="8">
        <f t="shared" si="0"/>
        <v>125.20235745821201</v>
      </c>
      <c r="E10" s="8">
        <f>E9*(1+Gas_Escalation_factor)</f>
        <v>69.349532627044141</v>
      </c>
      <c r="F10" s="8">
        <f>F9*(1+oper_Escalation)</f>
        <v>11.256803381250004</v>
      </c>
      <c r="G10" s="8">
        <f t="shared" si="1"/>
        <v>80.60633600829415</v>
      </c>
      <c r="H10" s="8">
        <f t="shared" si="2"/>
        <v>44.596021449917856</v>
      </c>
      <c r="I10" s="7">
        <v>16.574999999999999</v>
      </c>
      <c r="J10" s="8">
        <v>11.768408579967144</v>
      </c>
      <c r="K10" s="8">
        <f t="shared" si="3"/>
        <v>16.252612869950713</v>
      </c>
      <c r="L10" s="9">
        <v>0.72</v>
      </c>
      <c r="M10" s="8">
        <f t="shared" si="4"/>
        <v>11.701881266364513</v>
      </c>
    </row>
    <row r="11" spans="1:13">
      <c r="A11" s="7" t="s">
        <v>87</v>
      </c>
      <c r="B11" s="8">
        <f>B10*(1+steam_escalation)</f>
        <v>6.9889552312997836</v>
      </c>
      <c r="C11" s="8">
        <f>C10*(1+Elec_escalation)</f>
        <v>125.65898219601162</v>
      </c>
      <c r="D11" s="8">
        <f t="shared" si="0"/>
        <v>132.6479374273114</v>
      </c>
      <c r="E11" s="8">
        <f>E10*(1+Gas_Escalation_factor)</f>
        <v>73.510504584666791</v>
      </c>
      <c r="F11" s="8">
        <f>F10*(1+oper_Escalation)</f>
        <v>11.819643550312504</v>
      </c>
      <c r="G11" s="8">
        <f t="shared" si="1"/>
        <v>85.330148134979297</v>
      </c>
      <c r="H11" s="8">
        <f t="shared" si="2"/>
        <v>47.317789292332108</v>
      </c>
      <c r="I11" s="7">
        <v>15.3</v>
      </c>
      <c r="J11" s="8">
        <v>13.367115716932844</v>
      </c>
      <c r="K11" s="8">
        <f t="shared" si="3"/>
        <v>18.650673575399267</v>
      </c>
      <c r="L11" s="9">
        <v>0.72</v>
      </c>
      <c r="M11" s="8">
        <f t="shared" si="4"/>
        <v>13.428484974287471</v>
      </c>
    </row>
    <row r="12" spans="1:13">
      <c r="A12" s="7" t="s">
        <v>88</v>
      </c>
      <c r="B12" s="8">
        <f>B11*(1+steam_escalation)</f>
        <v>7.3384029928647729</v>
      </c>
      <c r="C12" s="8">
        <f>C11*(1+Elec_escalation)</f>
        <v>133.19852112777232</v>
      </c>
      <c r="D12" s="8">
        <f t="shared" si="0"/>
        <v>140.53692412063711</v>
      </c>
      <c r="E12" s="8">
        <f>E11*(1+Gas_Escalation_factor)</f>
        <v>77.9211348597468</v>
      </c>
      <c r="F12" s="8">
        <f>F11*(1+oper_Escalation)</f>
        <v>12.41062572782813</v>
      </c>
      <c r="G12" s="8">
        <f t="shared" si="1"/>
        <v>90.331760587574934</v>
      </c>
      <c r="H12" s="8">
        <f t="shared" si="2"/>
        <v>50.205163533062176</v>
      </c>
      <c r="I12" s="7">
        <v>14.025</v>
      </c>
      <c r="J12" s="8">
        <v>15.032065413224871</v>
      </c>
      <c r="K12" s="8">
        <f t="shared" si="3"/>
        <v>21.148098119837307</v>
      </c>
      <c r="L12" s="9">
        <v>0.72</v>
      </c>
      <c r="M12" s="8">
        <f t="shared" si="4"/>
        <v>15.22663064628286</v>
      </c>
    </row>
    <row r="13" spans="1:13">
      <c r="A13" s="7" t="s">
        <v>89</v>
      </c>
      <c r="B13" s="8">
        <f>B12*(1+steam_escalation)</f>
        <v>7.7053231425080115</v>
      </c>
      <c r="C13" s="8">
        <f>C12*(1+Elec_escalation)</f>
        <v>141.19043239543868</v>
      </c>
      <c r="D13" s="8">
        <f t="shared" si="0"/>
        <v>148.89575553794668</v>
      </c>
      <c r="E13" s="8">
        <f>E12*(1+Gas_Escalation_factor)</f>
        <v>82.596402951331612</v>
      </c>
      <c r="F13" s="8">
        <f>F12*(1+oper_Escalation)</f>
        <v>13.031157014219536</v>
      </c>
      <c r="G13" s="8">
        <f t="shared" si="1"/>
        <v>95.627559965551143</v>
      </c>
      <c r="H13" s="8">
        <f t="shared" si="2"/>
        <v>53.268195572395541</v>
      </c>
      <c r="I13" s="7"/>
      <c r="J13" s="8">
        <v>21.307278228958218</v>
      </c>
      <c r="K13" s="8">
        <f t="shared" si="3"/>
        <v>31.960917343437323</v>
      </c>
      <c r="L13" s="9">
        <v>0.72</v>
      </c>
      <c r="M13" s="8">
        <f t="shared" si="4"/>
        <v>23.011860487274873</v>
      </c>
    </row>
    <row r="14" spans="1:13">
      <c r="A14" s="7" t="s">
        <v>90</v>
      </c>
      <c r="B14" s="8">
        <f>B13*(1+steam_escalation)</f>
        <v>8.0905892996334128</v>
      </c>
      <c r="C14" s="8">
        <f>C13*(1+Elec_escalation)</f>
        <v>149.66185833916501</v>
      </c>
      <c r="D14" s="8">
        <f t="shared" si="0"/>
        <v>157.75244763879843</v>
      </c>
      <c r="E14" s="8">
        <f>E13*(1+Gas_Escalation_factor)</f>
        <v>87.552187128411518</v>
      </c>
      <c r="F14" s="8">
        <f>F13*(1+oper_Escalation)</f>
        <v>13.682714864930514</v>
      </c>
      <c r="G14" s="8">
        <f t="shared" si="1"/>
        <v>101.23490199334204</v>
      </c>
      <c r="H14" s="8">
        <f t="shared" si="2"/>
        <v>56.517545645456394</v>
      </c>
      <c r="I14" s="7"/>
      <c r="J14" s="8">
        <v>22.60701825818256</v>
      </c>
      <c r="K14" s="8">
        <f t="shared" si="3"/>
        <v>33.910527387273831</v>
      </c>
      <c r="L14" s="9">
        <v>0.72</v>
      </c>
      <c r="M14" s="8">
        <f t="shared" si="4"/>
        <v>24.415579718837158</v>
      </c>
    </row>
    <row r="15" spans="1:13">
      <c r="A15" s="7" t="s">
        <v>91</v>
      </c>
      <c r="B15" s="8">
        <f>B14*(1+steam_escalation)</f>
        <v>8.4951187646150839</v>
      </c>
      <c r="C15" s="8">
        <f>C14*(1+Elec_escalation)</f>
        <v>158.64156983951491</v>
      </c>
      <c r="D15" s="8">
        <f t="shared" si="0"/>
        <v>167.13668860413</v>
      </c>
      <c r="E15" s="8">
        <f>E14*(1+Gas_Escalation_factor)</f>
        <v>92.805318356116217</v>
      </c>
      <c r="F15" s="8">
        <f>F14*(1+oper_Escalation)</f>
        <v>14.366850608177041</v>
      </c>
      <c r="G15" s="8">
        <f t="shared" si="1"/>
        <v>107.17216896429326</v>
      </c>
      <c r="H15" s="8">
        <f t="shared" si="2"/>
        <v>59.964519639836737</v>
      </c>
      <c r="I15" s="7"/>
      <c r="J15" s="8">
        <v>23.985807855934695</v>
      </c>
      <c r="K15" s="8">
        <f t="shared" si="3"/>
        <v>35.978711783902042</v>
      </c>
      <c r="L15" s="9">
        <v>0.72</v>
      </c>
      <c r="M15" s="8">
        <f t="shared" si="4"/>
        <v>25.90467248440947</v>
      </c>
    </row>
    <row r="16" spans="1:13">
      <c r="A16" s="7" t="s">
        <v>92</v>
      </c>
      <c r="B16" s="8">
        <f>B15*(1+steam_escalation)</f>
        <v>8.9198747028458385</v>
      </c>
      <c r="C16" s="8">
        <f>C15*(1+Elec_escalation)</f>
        <v>168.16006402988583</v>
      </c>
      <c r="D16" s="8">
        <f t="shared" si="0"/>
        <v>177.07993873273168</v>
      </c>
      <c r="E16" s="8">
        <f>E15*(1+Gas_Escalation_factor)</f>
        <v>98.373637457483198</v>
      </c>
      <c r="F16" s="8">
        <f>F15*(1+oper_Escalation)</f>
        <v>15.085193138585893</v>
      </c>
      <c r="G16" s="8">
        <f t="shared" si="1"/>
        <v>113.45883059606909</v>
      </c>
      <c r="H16" s="8">
        <f t="shared" si="2"/>
        <v>63.621108136662585</v>
      </c>
      <c r="I16" s="7"/>
      <c r="J16" s="8">
        <v>25.448443254665037</v>
      </c>
      <c r="K16" s="8">
        <f t="shared" si="3"/>
        <v>38.172664881997548</v>
      </c>
      <c r="L16" s="9">
        <v>0.72</v>
      </c>
      <c r="M16" s="8">
        <f t="shared" si="4"/>
        <v>27.484318715038235</v>
      </c>
    </row>
    <row r="17" spans="1:13">
      <c r="A17" s="7" t="s">
        <v>93</v>
      </c>
      <c r="B17" s="8">
        <f>B16*(1+steam_escalation)</f>
        <v>9.3658684379881301</v>
      </c>
      <c r="C17" s="8">
        <f>C16*(1+Elec_escalation)</f>
        <v>178.24966787167898</v>
      </c>
      <c r="D17" s="8">
        <f t="shared" si="0"/>
        <v>187.61553630966711</v>
      </c>
      <c r="E17" s="8">
        <f>E16*(1+Gas_Escalation_factor)</f>
        <v>104.27605570493219</v>
      </c>
      <c r="F17" s="8">
        <f>F16*(1+oper_Escalation)</f>
        <v>15.839452795515189</v>
      </c>
      <c r="G17" s="8">
        <f t="shared" si="1"/>
        <v>120.11550850044738</v>
      </c>
      <c r="H17" s="8">
        <f t="shared" si="2"/>
        <v>67.500027809219731</v>
      </c>
      <c r="I17" s="7"/>
      <c r="J17" s="8">
        <v>27.000011123687894</v>
      </c>
      <c r="K17" s="8">
        <f t="shared" si="3"/>
        <v>40.500016685531833</v>
      </c>
      <c r="L17" s="9">
        <v>0.72</v>
      </c>
      <c r="M17" s="8">
        <f t="shared" si="4"/>
        <v>29.160012013582918</v>
      </c>
    </row>
  </sheetData>
  <mergeCells count="9">
    <mergeCell ref="M1:M2"/>
    <mergeCell ref="L1:L2"/>
    <mergeCell ref="A1:A2"/>
    <mergeCell ref="B1:D1"/>
    <mergeCell ref="E1:G1"/>
    <mergeCell ref="H1:H2"/>
    <mergeCell ref="I1:I2"/>
    <mergeCell ref="J1:J2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EE31-C907-486C-BA60-6E344F28BAE1}">
  <dimension ref="A1:D16"/>
  <sheetViews>
    <sheetView tabSelected="1" workbookViewId="0">
      <selection activeCell="N2" sqref="N2"/>
    </sheetView>
  </sheetViews>
  <sheetFormatPr defaultRowHeight="15"/>
  <cols>
    <col min="14" max="14" width="11.140625" customWidth="1"/>
  </cols>
  <sheetData>
    <row r="1" spans="1:4">
      <c r="A1" t="s">
        <v>100</v>
      </c>
      <c r="B1" t="s">
        <v>65</v>
      </c>
      <c r="C1" t="s">
        <v>66</v>
      </c>
      <c r="D1" t="s">
        <v>67</v>
      </c>
    </row>
    <row r="2" spans="1:4">
      <c r="A2" s="15" t="s">
        <v>79</v>
      </c>
      <c r="B2" cm="1">
        <f t="array" ref="B2:B16">Total_revenue</f>
        <v>83.570400000000006</v>
      </c>
      <c r="C2" cm="1">
        <f t="array" ref="C2:C16">Total_OM</f>
        <v>54.121400000000001</v>
      </c>
      <c r="D2" cm="1">
        <f t="array" ref="D2:D16">EBITDA</f>
        <v>29.449000000000005</v>
      </c>
    </row>
    <row r="3" spans="1:4">
      <c r="A3" s="15" t="s">
        <v>80</v>
      </c>
      <c r="B3">
        <v>88.537320000000008</v>
      </c>
      <c r="C3">
        <v>57.288684000000003</v>
      </c>
      <c r="D3">
        <v>31.248636000000005</v>
      </c>
    </row>
    <row r="4" spans="1:4">
      <c r="A4" s="15" t="s">
        <v>81</v>
      </c>
      <c r="B4">
        <v>93.799890000000005</v>
      </c>
      <c r="C4">
        <v>60.642005040000008</v>
      </c>
      <c r="D4">
        <v>33.157884959999997</v>
      </c>
    </row>
    <row r="5" spans="1:4">
      <c r="A5" s="15" t="s">
        <v>82</v>
      </c>
      <c r="B5">
        <v>99.375730740000023</v>
      </c>
      <c r="C5">
        <v>64.192325342400011</v>
      </c>
      <c r="D5">
        <v>35.183405397600012</v>
      </c>
    </row>
    <row r="6" spans="1:4">
      <c r="A6" s="15" t="s">
        <v>83</v>
      </c>
      <c r="B6">
        <v>105.28351429140002</v>
      </c>
      <c r="C6">
        <v>67.951254862944012</v>
      </c>
      <c r="D6">
        <v>37.332259428456013</v>
      </c>
    </row>
    <row r="7" spans="1:4">
      <c r="A7" s="15" t="s">
        <v>84</v>
      </c>
      <c r="B7">
        <v>111.54302684123404</v>
      </c>
      <c r="C7">
        <v>71.931089654720665</v>
      </c>
      <c r="D7">
        <v>39.611937186513373</v>
      </c>
    </row>
    <row r="8" spans="1:4">
      <c r="A8" s="15" t="s">
        <v>85</v>
      </c>
      <c r="B8">
        <v>118.17523522867559</v>
      </c>
      <c r="C8">
        <v>76.144852509003897</v>
      </c>
      <c r="D8">
        <v>42.030382719671692</v>
      </c>
    </row>
    <row r="9" spans="1:4">
      <c r="A9" s="15" t="s">
        <v>86</v>
      </c>
      <c r="B9">
        <v>125.20235745821201</v>
      </c>
      <c r="C9">
        <v>80.60633600829415</v>
      </c>
      <c r="D9">
        <v>44.596021449917856</v>
      </c>
    </row>
    <row r="10" spans="1:4">
      <c r="A10" s="15" t="s">
        <v>87</v>
      </c>
      <c r="B10">
        <v>132.6479374273114</v>
      </c>
      <c r="C10">
        <v>85.330148134979297</v>
      </c>
      <c r="D10">
        <v>47.317789292332108</v>
      </c>
    </row>
    <row r="11" spans="1:4">
      <c r="A11" s="15" t="s">
        <v>88</v>
      </c>
      <c r="B11">
        <v>140.53692412063711</v>
      </c>
      <c r="C11">
        <v>90.331760587574934</v>
      </c>
      <c r="D11">
        <v>50.205163533062176</v>
      </c>
    </row>
    <row r="12" spans="1:4">
      <c r="A12" s="15" t="s">
        <v>89</v>
      </c>
      <c r="B12">
        <v>148.89575553794668</v>
      </c>
      <c r="C12">
        <v>95.627559965551143</v>
      </c>
      <c r="D12">
        <v>53.268195572395541</v>
      </c>
    </row>
    <row r="13" spans="1:4">
      <c r="A13" s="15" t="s">
        <v>90</v>
      </c>
      <c r="B13">
        <v>157.75244763879843</v>
      </c>
      <c r="C13">
        <v>101.23490199334204</v>
      </c>
      <c r="D13">
        <v>56.517545645456394</v>
      </c>
    </row>
    <row r="14" spans="1:4">
      <c r="A14" s="15" t="s">
        <v>91</v>
      </c>
      <c r="B14">
        <v>167.13668860413</v>
      </c>
      <c r="C14">
        <v>107.17216896429326</v>
      </c>
      <c r="D14">
        <v>59.964519639836737</v>
      </c>
    </row>
    <row r="15" spans="1:4">
      <c r="A15" s="15" t="s">
        <v>92</v>
      </c>
      <c r="B15">
        <v>177.07993873273168</v>
      </c>
      <c r="C15">
        <v>113.45883059606909</v>
      </c>
      <c r="D15">
        <v>63.621108136662585</v>
      </c>
    </row>
    <row r="16" spans="1:4">
      <c r="A16" s="15" t="s">
        <v>93</v>
      </c>
      <c r="B16">
        <v>187.61553630966711</v>
      </c>
      <c r="C16">
        <v>120.11550850044738</v>
      </c>
      <c r="D16">
        <v>67.500027809219731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0E1A00D616641B849828FEE19A898" ma:contentTypeVersion="5" ma:contentTypeDescription="Create a new document." ma:contentTypeScope="" ma:versionID="610c356e83ebc856ce2c3fe66c505075">
  <xsd:schema xmlns:xsd="http://www.w3.org/2001/XMLSchema" xmlns:xs="http://www.w3.org/2001/XMLSchema" xmlns:p="http://schemas.microsoft.com/office/2006/metadata/properties" xmlns:ns3="5f880fc2-611e-4279-bde6-bbbaea0540dc" targetNamespace="http://schemas.microsoft.com/office/2006/metadata/properties" ma:root="true" ma:fieldsID="0f7ca72c919dfac9059f29af3a19f8ed" ns3:_="">
    <xsd:import namespace="5f880fc2-611e-4279-bde6-bbbaea0540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80fc2-611e-4279-bde6-bbbaea0540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880fc2-611e-4279-bde6-bbbaea0540dc" xsi:nil="true"/>
  </documentManagement>
</p:properties>
</file>

<file path=customXml/itemProps1.xml><?xml version="1.0" encoding="utf-8"?>
<ds:datastoreItem xmlns:ds="http://schemas.openxmlformats.org/officeDocument/2006/customXml" ds:itemID="{2D01927F-8CE2-4724-8A05-52EA449D4FDC}"/>
</file>

<file path=customXml/itemProps2.xml><?xml version="1.0" encoding="utf-8"?>
<ds:datastoreItem xmlns:ds="http://schemas.openxmlformats.org/officeDocument/2006/customXml" ds:itemID="{16569681-645D-4A06-861A-00F8CC36AF68}"/>
</file>

<file path=customXml/itemProps3.xml><?xml version="1.0" encoding="utf-8"?>
<ds:datastoreItem xmlns:ds="http://schemas.openxmlformats.org/officeDocument/2006/customXml" ds:itemID="{4DF039F1-FEAD-408A-AB25-F7D41416F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Manpreeth M P</dc:creator>
  <cp:keywords/>
  <dc:description/>
  <cp:lastModifiedBy/>
  <cp:revision/>
  <dcterms:created xsi:type="dcterms:W3CDTF">2026-05-04T12:09:31Z</dcterms:created>
  <dcterms:modified xsi:type="dcterms:W3CDTF">2026-05-15T08:08:09Z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0x0101006E20E1A00D616641B849828FEE19A898</vt:lpwstr>
  </property>
</Properties>
</file>