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num\Downloads\251030062\"/>
    </mc:Choice>
  </mc:AlternateContent>
  <xr:revisionPtr revIDLastSave="0" documentId="8_{A11E402B-4AFF-429E-9A18-351FB2F4753E}" xr6:coauthVersionLast="47" xr6:coauthVersionMax="47" xr10:uidLastSave="{00000000-0000-0000-0000-000000000000}"/>
  <bookViews>
    <workbookView xWindow="11424" yWindow="0" windowWidth="11712" windowHeight="13056" firstSheet="3" activeTab="4" xr2:uid="{186B1519-5B74-4176-BCC0-628E05121AD0}"/>
  </bookViews>
  <sheets>
    <sheet name="Excavation" sheetId="1" r:id="rId1"/>
    <sheet name="R_C_C" sheetId="5" r:id="rId2"/>
    <sheet name="Formwork" sheetId="2" r:id="rId3"/>
    <sheet name="Brickwork" sheetId="3" r:id="rId4"/>
    <sheet name="Plastering and painting 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" i="4" l="1"/>
  <c r="P9" i="4" s="1"/>
  <c r="K9" i="4"/>
  <c r="Q9" i="4" s="1"/>
  <c r="L9" i="4"/>
  <c r="R9" i="4" s="1"/>
  <c r="M9" i="4"/>
  <c r="J8" i="4"/>
  <c r="P8" i="4" s="1"/>
  <c r="K8" i="4"/>
  <c r="L8" i="4"/>
  <c r="R8" i="4" s="1"/>
  <c r="M8" i="4"/>
  <c r="J7" i="4"/>
  <c r="P7" i="4" s="1"/>
  <c r="K7" i="4"/>
  <c r="Q7" i="4" s="1"/>
  <c r="L7" i="4"/>
  <c r="M7" i="4"/>
  <c r="J6" i="4"/>
  <c r="P6" i="4" s="1"/>
  <c r="K6" i="4"/>
  <c r="Q6" i="4" s="1"/>
  <c r="L6" i="4"/>
  <c r="R6" i="4" s="1"/>
  <c r="M6" i="4"/>
  <c r="J5" i="4"/>
  <c r="P5" i="4" s="1"/>
  <c r="K5" i="4"/>
  <c r="Q5" i="4" s="1"/>
  <c r="L5" i="4"/>
  <c r="R5" i="4" s="1"/>
  <c r="M5" i="4"/>
  <c r="J4" i="4"/>
  <c r="K4" i="4"/>
  <c r="Q4" i="4" s="1"/>
  <c r="L4" i="4"/>
  <c r="M4" i="4"/>
  <c r="S9" i="4"/>
  <c r="S4" i="4"/>
  <c r="S5" i="4"/>
  <c r="S6" i="4"/>
  <c r="S7" i="4"/>
  <c r="S8" i="4"/>
  <c r="S10" i="4"/>
  <c r="S3" i="4"/>
  <c r="L3" i="4"/>
  <c r="M3" i="4"/>
  <c r="C23" i="5"/>
  <c r="D23" i="5"/>
  <c r="E23" i="5"/>
  <c r="F23" i="5"/>
  <c r="G23" i="5"/>
  <c r="B23" i="5"/>
  <c r="R3" i="4"/>
  <c r="T3" i="4"/>
  <c r="R4" i="4"/>
  <c r="T4" i="4"/>
  <c r="T5" i="4"/>
  <c r="T6" i="4"/>
  <c r="R7" i="4"/>
  <c r="T7" i="4"/>
  <c r="T8" i="4"/>
  <c r="T9" i="4"/>
  <c r="R10" i="4"/>
  <c r="T10" i="4"/>
  <c r="N3" i="3"/>
  <c r="O3" i="3"/>
  <c r="P3" i="3"/>
  <c r="N4" i="3"/>
  <c r="O4" i="3"/>
  <c r="P4" i="3"/>
  <c r="N5" i="3"/>
  <c r="O5" i="3"/>
  <c r="P5" i="3"/>
  <c r="N6" i="3"/>
  <c r="O6" i="3"/>
  <c r="P6" i="3"/>
  <c r="M4" i="3"/>
  <c r="M5" i="3"/>
  <c r="M6" i="3"/>
  <c r="M3" i="3"/>
  <c r="Q3" i="2"/>
  <c r="R3" i="2"/>
  <c r="S3" i="2"/>
  <c r="T3" i="2"/>
  <c r="U3" i="2"/>
  <c r="Q4" i="2"/>
  <c r="R4" i="2"/>
  <c r="S4" i="2"/>
  <c r="T4" i="2"/>
  <c r="U4" i="2"/>
  <c r="Q5" i="2"/>
  <c r="R5" i="2"/>
  <c r="S5" i="2"/>
  <c r="T5" i="2"/>
  <c r="U5" i="2"/>
  <c r="Q6" i="2"/>
  <c r="R6" i="2"/>
  <c r="S6" i="2"/>
  <c r="T6" i="2"/>
  <c r="U6" i="2"/>
  <c r="Q7" i="2"/>
  <c r="R7" i="2"/>
  <c r="S7" i="2"/>
  <c r="T7" i="2"/>
  <c r="U7" i="2"/>
  <c r="Q8" i="2"/>
  <c r="R8" i="2"/>
  <c r="S8" i="2"/>
  <c r="T8" i="2"/>
  <c r="U8" i="2"/>
  <c r="Q9" i="2"/>
  <c r="R9" i="2"/>
  <c r="S9" i="2"/>
  <c r="T9" i="2"/>
  <c r="U9" i="2"/>
  <c r="Q10" i="2"/>
  <c r="R10" i="2"/>
  <c r="S10" i="2"/>
  <c r="T10" i="2"/>
  <c r="U10" i="2"/>
  <c r="Q11" i="2"/>
  <c r="R11" i="2"/>
  <c r="S11" i="2"/>
  <c r="T11" i="2"/>
  <c r="U11" i="2"/>
  <c r="P4" i="2"/>
  <c r="P5" i="2"/>
  <c r="P6" i="2"/>
  <c r="P7" i="2"/>
  <c r="P8" i="2"/>
  <c r="P9" i="2"/>
  <c r="P10" i="2"/>
  <c r="P11" i="2"/>
  <c r="P3" i="2"/>
  <c r="P3" i="5"/>
  <c r="Q3" i="5"/>
  <c r="R3" i="5"/>
  <c r="S3" i="5"/>
  <c r="T3" i="5"/>
  <c r="P4" i="5"/>
  <c r="Q4" i="5"/>
  <c r="R4" i="5"/>
  <c r="S4" i="5"/>
  <c r="T4" i="5"/>
  <c r="P5" i="5"/>
  <c r="Q5" i="5"/>
  <c r="R5" i="5"/>
  <c r="S5" i="5"/>
  <c r="T5" i="5"/>
  <c r="P6" i="5"/>
  <c r="Q6" i="5"/>
  <c r="R6" i="5"/>
  <c r="S6" i="5"/>
  <c r="T6" i="5"/>
  <c r="P7" i="5"/>
  <c r="Q7" i="5"/>
  <c r="R7" i="5"/>
  <c r="S7" i="5"/>
  <c r="T7" i="5"/>
  <c r="P8" i="5"/>
  <c r="Q8" i="5"/>
  <c r="R8" i="5"/>
  <c r="S8" i="5"/>
  <c r="T8" i="5"/>
  <c r="P9" i="5"/>
  <c r="Q9" i="5"/>
  <c r="R9" i="5"/>
  <c r="S9" i="5"/>
  <c r="T9" i="5"/>
  <c r="O4" i="5"/>
  <c r="O5" i="5"/>
  <c r="O6" i="5"/>
  <c r="O7" i="5"/>
  <c r="O8" i="5"/>
  <c r="O9" i="5"/>
  <c r="O3" i="5"/>
  <c r="O3" i="1"/>
  <c r="P3" i="1"/>
  <c r="O4" i="1"/>
  <c r="P4" i="1"/>
  <c r="N4" i="1"/>
  <c r="N3" i="1"/>
  <c r="J10" i="4"/>
  <c r="P10" i="4" s="1"/>
  <c r="K10" i="4"/>
  <c r="Q10" i="4" s="1"/>
  <c r="Q8" i="4"/>
  <c r="P4" i="4"/>
  <c r="J3" i="4"/>
  <c r="P3" i="4" s="1"/>
  <c r="K3" i="4"/>
  <c r="Q3" i="4" s="1"/>
  <c r="I10" i="4"/>
  <c r="O10" i="4" s="1"/>
  <c r="I9" i="4"/>
  <c r="O9" i="4" s="1"/>
  <c r="I8" i="4"/>
  <c r="O8" i="4" s="1"/>
  <c r="I7" i="4"/>
  <c r="O7" i="4" s="1"/>
  <c r="I6" i="4"/>
  <c r="O6" i="4" s="1"/>
  <c r="I5" i="4"/>
  <c r="O5" i="4" s="1"/>
  <c r="I4" i="4"/>
  <c r="O4" i="4" s="1"/>
  <c r="I3" i="4"/>
  <c r="O3" i="4" s="1"/>
  <c r="I6" i="3"/>
  <c r="J6" i="3"/>
  <c r="I5" i="3"/>
  <c r="J5" i="3"/>
  <c r="I4" i="3"/>
  <c r="J4" i="3"/>
  <c r="I3" i="3"/>
  <c r="J3" i="3"/>
  <c r="H6" i="3"/>
  <c r="H5" i="3"/>
  <c r="H4" i="3"/>
  <c r="H3" i="3"/>
  <c r="L10" i="2"/>
  <c r="M10" i="2"/>
  <c r="N10" i="2"/>
  <c r="O10" i="2"/>
  <c r="L9" i="2"/>
  <c r="M9" i="2"/>
  <c r="N9" i="2"/>
  <c r="O9" i="2"/>
  <c r="L8" i="2"/>
  <c r="M8" i="2"/>
  <c r="N8" i="2"/>
  <c r="O8" i="2"/>
  <c r="L7" i="2"/>
  <c r="M7" i="2"/>
  <c r="N7" i="2"/>
  <c r="O7" i="2"/>
  <c r="L6" i="2"/>
  <c r="M6" i="2"/>
  <c r="N6" i="2"/>
  <c r="O6" i="2"/>
  <c r="L5" i="2"/>
  <c r="M5" i="2"/>
  <c r="N5" i="2"/>
  <c r="O5" i="2"/>
  <c r="L4" i="2"/>
  <c r="M4" i="2"/>
  <c r="N4" i="2"/>
  <c r="O4" i="2"/>
  <c r="L3" i="2"/>
  <c r="M3" i="2"/>
  <c r="N3" i="2"/>
  <c r="O3" i="2"/>
  <c r="L11" i="2"/>
  <c r="M11" i="2"/>
  <c r="N11" i="2"/>
  <c r="O11" i="2"/>
  <c r="K11" i="2"/>
  <c r="K10" i="2"/>
  <c r="K9" i="2"/>
  <c r="K8" i="2"/>
  <c r="K7" i="2"/>
  <c r="K6" i="2"/>
  <c r="K5" i="2"/>
  <c r="K4" i="2"/>
  <c r="K3" i="2"/>
  <c r="J4" i="1"/>
  <c r="J9" i="5"/>
  <c r="K9" i="5"/>
  <c r="L9" i="5"/>
  <c r="M9" i="5"/>
  <c r="N9" i="5"/>
  <c r="J8" i="5"/>
  <c r="K8" i="5"/>
  <c r="L8" i="5"/>
  <c r="M8" i="5"/>
  <c r="N8" i="5"/>
  <c r="J7" i="5"/>
  <c r="K7" i="5"/>
  <c r="L7" i="5"/>
  <c r="M7" i="5"/>
  <c r="N7" i="5"/>
  <c r="J6" i="5"/>
  <c r="K6" i="5"/>
  <c r="L6" i="5"/>
  <c r="M6" i="5"/>
  <c r="N6" i="5"/>
  <c r="J5" i="5"/>
  <c r="K5" i="5"/>
  <c r="L5" i="5"/>
  <c r="M5" i="5"/>
  <c r="N5" i="5"/>
  <c r="N4" i="5"/>
  <c r="N3" i="5"/>
  <c r="J4" i="5"/>
  <c r="K4" i="5"/>
  <c r="L4" i="5"/>
  <c r="M4" i="5"/>
  <c r="I9" i="5"/>
  <c r="I8" i="5"/>
  <c r="I7" i="5"/>
  <c r="I6" i="5"/>
  <c r="I5" i="5"/>
  <c r="I4" i="5"/>
  <c r="M3" i="5"/>
  <c r="J3" i="5"/>
  <c r="K3" i="5"/>
  <c r="L3" i="5"/>
  <c r="I3" i="5"/>
  <c r="I4" i="1"/>
  <c r="H4" i="1"/>
  <c r="I3" i="1"/>
  <c r="H3" i="1"/>
  <c r="B5" i="5"/>
  <c r="B7" i="2"/>
  <c r="B6" i="2"/>
  <c r="B5" i="2"/>
  <c r="B4" i="2"/>
  <c r="B3" i="2"/>
</calcChain>
</file>

<file path=xl/sharedStrings.xml><?xml version="1.0" encoding="utf-8"?>
<sst xmlns="http://schemas.openxmlformats.org/spreadsheetml/2006/main" count="164" uniqueCount="46">
  <si>
    <t xml:space="preserve">Mate </t>
  </si>
  <si>
    <t>Mazdoor</t>
  </si>
  <si>
    <t xml:space="preserve">Activity </t>
  </si>
  <si>
    <t>Bhisti</t>
  </si>
  <si>
    <t>Mixer</t>
  </si>
  <si>
    <t xml:space="preserve">Mixer operator </t>
  </si>
  <si>
    <t>Quantity (m3)</t>
  </si>
  <si>
    <t xml:space="preserve">Constants </t>
  </si>
  <si>
    <t xml:space="preserve">Number of workers </t>
  </si>
  <si>
    <t>Excavation</t>
  </si>
  <si>
    <t>Bacfilling</t>
  </si>
  <si>
    <t>Footing PCC</t>
  </si>
  <si>
    <t>Footing RCC</t>
  </si>
  <si>
    <t>Plinth beam rcc</t>
  </si>
  <si>
    <t xml:space="preserve">total column rcc upto 2 floor </t>
  </si>
  <si>
    <t>For Ground Floor and first floor beam Beam</t>
  </si>
  <si>
    <t>Lintel RCC</t>
  </si>
  <si>
    <t>secindfloor beqams + slabs RCC</t>
  </si>
  <si>
    <t>Footing</t>
  </si>
  <si>
    <t>Column (total)</t>
  </si>
  <si>
    <t>beams plinth</t>
  </si>
  <si>
    <t>beams ground and first</t>
  </si>
  <si>
    <t xml:space="preserve">beams second </t>
  </si>
  <si>
    <t>Slab (2)</t>
  </si>
  <si>
    <t>Balcony</t>
  </si>
  <si>
    <t>Terrace</t>
  </si>
  <si>
    <t>Mumty Terrace</t>
  </si>
  <si>
    <t>Quantity (m2)</t>
  </si>
  <si>
    <t>Groundfloor</t>
  </si>
  <si>
    <t>Secondfloor</t>
  </si>
  <si>
    <t>First floor</t>
  </si>
  <si>
    <t>Below plinth</t>
  </si>
  <si>
    <t>Groundfloor walls</t>
  </si>
  <si>
    <t xml:space="preserve">First floor walls </t>
  </si>
  <si>
    <t>Secondfloor wall</t>
  </si>
  <si>
    <t xml:space="preserve">Wall below plint </t>
  </si>
  <si>
    <t>Groundfloor ceiling</t>
  </si>
  <si>
    <t xml:space="preserve">First floor ceiling </t>
  </si>
  <si>
    <t>secondfloor ceiling</t>
  </si>
  <si>
    <t>Vibrator</t>
  </si>
  <si>
    <t>Capenter</t>
  </si>
  <si>
    <t>Barbender</t>
  </si>
  <si>
    <t>Flor polishing</t>
  </si>
  <si>
    <t>Carpenter</t>
  </si>
  <si>
    <t>Painter</t>
  </si>
  <si>
    <t>Floor laying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</si>
</sst>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A99E-6BA5-4508-A636-933002E8AC7E}">
  <dimension ref="A1:R29"/>
  <sheetViews>
    <sheetView topLeftCell="B1" zoomScale="110" zoomScaleNormal="110" workbookViewId="0">
      <selection activeCell="N3" sqref="N3"/>
    </sheetView>
  </sheetViews>
  <sheetFormatPr defaultRowHeight="14.4" x14ac:dyDescent="0.3"/>
  <cols>
    <col min="1" max="1" width="26.109375" customWidth="1"/>
    <col min="2" max="2" width="19.109375" customWidth="1"/>
    <col min="7" max="7" width="12.88671875" bestFit="1" customWidth="1"/>
  </cols>
  <sheetData>
    <row r="1" spans="1:18" x14ac:dyDescent="0.3">
      <c r="C1" s="13" t="s">
        <v>7</v>
      </c>
      <c r="D1" s="13"/>
      <c r="E1" s="13"/>
      <c r="F1" s="13"/>
      <c r="G1" s="13"/>
      <c r="H1" t="s">
        <v>8</v>
      </c>
    </row>
    <row r="2" spans="1:18" s="6" customFormat="1" x14ac:dyDescent="0.3">
      <c r="A2" s="6" t="s">
        <v>2</v>
      </c>
      <c r="B2" s="6" t="s">
        <v>6</v>
      </c>
      <c r="C2" s="6" t="s">
        <v>0</v>
      </c>
      <c r="D2" s="6" t="s">
        <v>1</v>
      </c>
      <c r="E2" s="6" t="s">
        <v>3</v>
      </c>
      <c r="F2" s="6" t="s">
        <v>4</v>
      </c>
      <c r="G2" s="6" t="s">
        <v>5</v>
      </c>
      <c r="H2" s="6" t="s">
        <v>0</v>
      </c>
      <c r="I2" s="6" t="s">
        <v>1</v>
      </c>
      <c r="J2" s="6" t="s">
        <v>3</v>
      </c>
      <c r="K2" s="6" t="s">
        <v>4</v>
      </c>
      <c r="L2" s="6" t="s">
        <v>5</v>
      </c>
      <c r="N2" s="6" t="s">
        <v>0</v>
      </c>
      <c r="O2" s="6" t="s">
        <v>1</v>
      </c>
      <c r="P2" s="6" t="s">
        <v>3</v>
      </c>
      <c r="Q2" s="6" t="s">
        <v>4</v>
      </c>
      <c r="R2" s="6" t="s">
        <v>5</v>
      </c>
    </row>
    <row r="3" spans="1:18" x14ac:dyDescent="0.3">
      <c r="A3" t="s">
        <v>9</v>
      </c>
      <c r="B3">
        <v>98.057000000000002</v>
      </c>
      <c r="C3" s="6">
        <v>0.06</v>
      </c>
      <c r="D3" s="6">
        <v>0.62</v>
      </c>
      <c r="E3" s="6"/>
      <c r="F3" s="6"/>
      <c r="G3" s="6"/>
      <c r="H3" s="11">
        <f>$B$3*C3</f>
        <v>5.8834200000000001</v>
      </c>
      <c r="I3" s="11">
        <f>$B$3*D3</f>
        <v>60.795340000000003</v>
      </c>
      <c r="J3" s="11"/>
      <c r="K3" s="11"/>
      <c r="L3" s="11"/>
      <c r="M3" s="11"/>
      <c r="N3">
        <f>ROUNDUP(H3,0)</f>
        <v>6</v>
      </c>
      <c r="O3">
        <f t="shared" ref="O3:P4" si="0">ROUNDUP(I3,0)</f>
        <v>61</v>
      </c>
      <c r="P3">
        <f t="shared" si="0"/>
        <v>0</v>
      </c>
    </row>
    <row r="4" spans="1:18" x14ac:dyDescent="0.3">
      <c r="A4" t="s">
        <v>10</v>
      </c>
      <c r="B4" s="2">
        <v>159.34948899999998</v>
      </c>
      <c r="C4" s="6">
        <v>0.02</v>
      </c>
      <c r="D4" s="6">
        <v>0.25</v>
      </c>
      <c r="E4" s="6">
        <v>0.02</v>
      </c>
      <c r="F4" s="6"/>
      <c r="G4" s="6"/>
      <c r="H4" s="11">
        <f>$B$4*C4</f>
        <v>3.1869897799999998</v>
      </c>
      <c r="I4" s="11">
        <f>$B$4*D4</f>
        <v>39.837372249999994</v>
      </c>
      <c r="J4" s="11">
        <f>$B$4*E4</f>
        <v>3.1869897799999998</v>
      </c>
      <c r="K4" s="11"/>
      <c r="L4" s="11"/>
      <c r="M4" s="11"/>
      <c r="N4">
        <f>ROUNDUP(H4,0)</f>
        <v>4</v>
      </c>
      <c r="O4">
        <f t="shared" si="0"/>
        <v>40</v>
      </c>
      <c r="P4">
        <f t="shared" si="0"/>
        <v>4</v>
      </c>
    </row>
    <row r="5" spans="1:18" x14ac:dyDescent="0.3">
      <c r="C5" s="6"/>
      <c r="D5" s="6"/>
      <c r="E5" s="6"/>
      <c r="F5" s="6"/>
      <c r="G5" s="6"/>
      <c r="H5" s="11"/>
      <c r="I5" s="11"/>
      <c r="J5" s="11"/>
      <c r="K5" s="11"/>
      <c r="L5" s="11"/>
      <c r="M5" s="11"/>
    </row>
    <row r="6" spans="1:18" x14ac:dyDescent="0.3">
      <c r="C6" s="6"/>
      <c r="D6" s="6"/>
      <c r="E6" s="6"/>
      <c r="F6" s="6"/>
      <c r="G6" s="6"/>
      <c r="H6" s="11"/>
      <c r="I6" s="11"/>
      <c r="J6" s="11"/>
      <c r="K6" s="11"/>
      <c r="L6" s="11"/>
      <c r="M6" s="11"/>
    </row>
    <row r="7" spans="1:18" x14ac:dyDescent="0.3">
      <c r="C7" s="6"/>
      <c r="D7" s="6"/>
      <c r="E7" s="6"/>
      <c r="F7" s="6"/>
      <c r="G7" s="6"/>
      <c r="H7" s="11"/>
      <c r="I7" s="11"/>
      <c r="J7" s="11"/>
      <c r="K7" s="11"/>
      <c r="L7" s="11"/>
      <c r="M7" s="11"/>
    </row>
    <row r="8" spans="1:18" x14ac:dyDescent="0.3">
      <c r="C8" s="6"/>
      <c r="D8" s="6"/>
      <c r="E8" s="6"/>
      <c r="F8" s="6"/>
      <c r="G8" s="6"/>
      <c r="H8" s="11"/>
      <c r="I8" s="11"/>
      <c r="J8" s="11"/>
      <c r="K8" s="11"/>
      <c r="L8" s="11"/>
      <c r="M8" s="11"/>
    </row>
    <row r="9" spans="1:18" x14ac:dyDescent="0.3">
      <c r="A9" s="4"/>
      <c r="B9" s="3"/>
      <c r="C9" s="6"/>
      <c r="D9" s="6"/>
      <c r="E9" s="6"/>
      <c r="F9" s="6"/>
      <c r="G9" s="6"/>
      <c r="H9" s="11"/>
      <c r="I9" s="11"/>
      <c r="J9" s="11"/>
      <c r="K9" s="11"/>
      <c r="L9" s="11"/>
      <c r="M9" s="11"/>
    </row>
    <row r="10" spans="1:18" x14ac:dyDescent="0.3">
      <c r="B10" s="3"/>
      <c r="C10" s="6"/>
      <c r="D10" s="6"/>
      <c r="E10" s="6"/>
      <c r="F10" s="6"/>
      <c r="G10" s="6"/>
      <c r="H10" s="11"/>
      <c r="I10" s="11"/>
      <c r="J10" s="11"/>
      <c r="K10" s="11"/>
      <c r="L10" s="11"/>
      <c r="M10" s="11"/>
    </row>
    <row r="11" spans="1:18" x14ac:dyDescent="0.3">
      <c r="B11" s="5"/>
    </row>
    <row r="12" spans="1:18" x14ac:dyDescent="0.3">
      <c r="B12" s="5"/>
    </row>
    <row r="13" spans="1:18" x14ac:dyDescent="0.3">
      <c r="B13" s="5"/>
    </row>
    <row r="14" spans="1:18" x14ac:dyDescent="0.3">
      <c r="B14" s="5"/>
    </row>
    <row r="15" spans="1:18" x14ac:dyDescent="0.3">
      <c r="B15" s="5"/>
    </row>
    <row r="16" spans="1:18" x14ac:dyDescent="0.3">
      <c r="B16" s="5"/>
    </row>
    <row r="17" spans="2:2" x14ac:dyDescent="0.3">
      <c r="B17" s="5"/>
    </row>
    <row r="18" spans="2:2" x14ac:dyDescent="0.3">
      <c r="B18" s="5"/>
    </row>
    <row r="19" spans="2:2" x14ac:dyDescent="0.3">
      <c r="B19" s="5"/>
    </row>
    <row r="20" spans="2:2" x14ac:dyDescent="0.3">
      <c r="B20" s="5"/>
    </row>
    <row r="21" spans="2:2" x14ac:dyDescent="0.3">
      <c r="B21" s="5"/>
    </row>
    <row r="22" spans="2:2" x14ac:dyDescent="0.3">
      <c r="B22" s="5"/>
    </row>
    <row r="23" spans="2:2" x14ac:dyDescent="0.3">
      <c r="B23" s="5"/>
    </row>
    <row r="24" spans="2:2" x14ac:dyDescent="0.3">
      <c r="B24" s="5"/>
    </row>
    <row r="25" spans="2:2" x14ac:dyDescent="0.3">
      <c r="B25" s="5"/>
    </row>
    <row r="26" spans="2:2" x14ac:dyDescent="0.3">
      <c r="B26" s="5"/>
    </row>
    <row r="27" spans="2:2" x14ac:dyDescent="0.3">
      <c r="B27" s="5"/>
    </row>
    <row r="28" spans="2:2" x14ac:dyDescent="0.3">
      <c r="B28" s="5"/>
    </row>
    <row r="29" spans="2:2" x14ac:dyDescent="0.3">
      <c r="B29" s="5"/>
    </row>
  </sheetData>
  <mergeCells count="1">
    <mergeCell ref="C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6F50B-A8CB-4ED8-A90D-1EF902189609}">
  <dimension ref="A1:T23"/>
  <sheetViews>
    <sheetView topLeftCell="B1" zoomScale="90" zoomScaleNormal="90" workbookViewId="0">
      <selection activeCell="B8" sqref="B8"/>
    </sheetView>
  </sheetViews>
  <sheetFormatPr defaultRowHeight="14.4" x14ac:dyDescent="0.3"/>
  <cols>
    <col min="1" max="1" width="44.77734375" customWidth="1"/>
    <col min="2" max="2" width="11.5546875" customWidth="1"/>
    <col min="7" max="8" width="12.33203125" customWidth="1"/>
    <col min="13" max="13" width="12.5546875" customWidth="1"/>
  </cols>
  <sheetData>
    <row r="1" spans="1:20" x14ac:dyDescent="0.3">
      <c r="C1" s="13" t="s">
        <v>7</v>
      </c>
      <c r="D1" s="13"/>
      <c r="E1" s="13"/>
      <c r="F1" s="13"/>
      <c r="G1" s="13"/>
      <c r="H1" s="1"/>
      <c r="I1" t="s">
        <v>8</v>
      </c>
    </row>
    <row r="2" spans="1:20" x14ac:dyDescent="0.3">
      <c r="A2" t="s">
        <v>2</v>
      </c>
      <c r="B2" t="s">
        <v>6</v>
      </c>
      <c r="C2" t="s">
        <v>0</v>
      </c>
      <c r="D2" t="s">
        <v>1</v>
      </c>
      <c r="E2" t="s">
        <v>3</v>
      </c>
      <c r="F2" t="s">
        <v>4</v>
      </c>
      <c r="G2" t="s">
        <v>5</v>
      </c>
      <c r="H2" t="s">
        <v>39</v>
      </c>
      <c r="I2" t="s">
        <v>0</v>
      </c>
      <c r="J2" t="s">
        <v>1</v>
      </c>
      <c r="K2" t="s">
        <v>3</v>
      </c>
      <c r="L2" t="s">
        <v>4</v>
      </c>
      <c r="M2" t="s">
        <v>5</v>
      </c>
      <c r="N2" t="s">
        <v>39</v>
      </c>
      <c r="O2" t="s">
        <v>0</v>
      </c>
      <c r="P2" t="s">
        <v>1</v>
      </c>
      <c r="Q2" t="s">
        <v>3</v>
      </c>
      <c r="R2" t="s">
        <v>4</v>
      </c>
      <c r="S2" t="s">
        <v>5</v>
      </c>
      <c r="T2" t="s">
        <v>39</v>
      </c>
    </row>
    <row r="3" spans="1:20" x14ac:dyDescent="0.3">
      <c r="A3" t="s">
        <v>11</v>
      </c>
      <c r="B3">
        <v>2.6232450000000003</v>
      </c>
      <c r="C3" s="6">
        <v>0.1</v>
      </c>
      <c r="D3" s="6">
        <v>1.63</v>
      </c>
      <c r="E3" s="6">
        <v>0.7</v>
      </c>
      <c r="F3" s="6">
        <v>7.0000000000000007E-2</v>
      </c>
      <c r="G3" s="6">
        <v>7.0000000000000007E-2</v>
      </c>
      <c r="H3" s="6">
        <v>7.0000000000000007E-2</v>
      </c>
      <c r="I3" s="11">
        <f>$B$3*C3</f>
        <v>0.26232450000000002</v>
      </c>
      <c r="J3" s="11">
        <f t="shared" ref="J3:N3" si="0">$B$3*D3</f>
        <v>4.2758893499999999</v>
      </c>
      <c r="K3" s="11">
        <f t="shared" si="0"/>
        <v>1.8362715000000001</v>
      </c>
      <c r="L3" s="11">
        <f t="shared" si="0"/>
        <v>0.18362715000000004</v>
      </c>
      <c r="M3" s="11">
        <f t="shared" si="0"/>
        <v>0.18362715000000004</v>
      </c>
      <c r="N3" s="11">
        <f t="shared" si="0"/>
        <v>0.18362715000000004</v>
      </c>
      <c r="O3">
        <f>ROUNDUP(I3,0)</f>
        <v>1</v>
      </c>
      <c r="P3">
        <f t="shared" ref="P3:T9" si="1">ROUNDUP(J3,0)</f>
        <v>5</v>
      </c>
      <c r="Q3">
        <f t="shared" si="1"/>
        <v>2</v>
      </c>
      <c r="R3">
        <f t="shared" si="1"/>
        <v>1</v>
      </c>
      <c r="S3">
        <f t="shared" si="1"/>
        <v>1</v>
      </c>
      <c r="T3">
        <f t="shared" si="1"/>
        <v>1</v>
      </c>
    </row>
    <row r="4" spans="1:20" x14ac:dyDescent="0.3">
      <c r="A4" t="s">
        <v>12</v>
      </c>
      <c r="B4">
        <v>4.1882964999999999</v>
      </c>
      <c r="C4" s="6">
        <v>0.17</v>
      </c>
      <c r="D4" s="6">
        <v>2</v>
      </c>
      <c r="E4" s="6">
        <v>0.9</v>
      </c>
      <c r="F4" s="6">
        <v>7.0000000000000007E-2</v>
      </c>
      <c r="G4" s="6">
        <v>7.0000000000000007E-2</v>
      </c>
      <c r="H4" s="6">
        <v>7.0000000000000007E-2</v>
      </c>
      <c r="I4" s="11">
        <f>$B$4*C4</f>
        <v>0.71201040500000001</v>
      </c>
      <c r="J4" s="11">
        <f t="shared" ref="J4:N4" si="2">$B$4*D4</f>
        <v>8.3765929999999997</v>
      </c>
      <c r="K4" s="11">
        <f t="shared" si="2"/>
        <v>3.7694668500000001</v>
      </c>
      <c r="L4" s="11">
        <f t="shared" si="2"/>
        <v>0.29318075500000002</v>
      </c>
      <c r="M4" s="11">
        <f t="shared" si="2"/>
        <v>0.29318075500000002</v>
      </c>
      <c r="N4" s="11">
        <f t="shared" si="2"/>
        <v>0.29318075500000002</v>
      </c>
      <c r="O4">
        <f t="shared" ref="O4:O9" si="3">ROUNDUP(I4,0)</f>
        <v>1</v>
      </c>
      <c r="P4">
        <f t="shared" si="1"/>
        <v>9</v>
      </c>
      <c r="Q4">
        <f t="shared" si="1"/>
        <v>4</v>
      </c>
      <c r="R4">
        <f t="shared" si="1"/>
        <v>1</v>
      </c>
      <c r="S4">
        <f t="shared" si="1"/>
        <v>1</v>
      </c>
      <c r="T4">
        <f t="shared" si="1"/>
        <v>1</v>
      </c>
    </row>
    <row r="5" spans="1:20" x14ac:dyDescent="0.3">
      <c r="A5" t="s">
        <v>13</v>
      </c>
      <c r="B5">
        <f>3.129+1.865</f>
        <v>4.9939999999999998</v>
      </c>
      <c r="C5" s="6">
        <v>0.2</v>
      </c>
      <c r="D5" s="6">
        <v>3</v>
      </c>
      <c r="E5" s="6">
        <v>0.9</v>
      </c>
      <c r="F5" s="6">
        <v>7.0000000000000007E-2</v>
      </c>
      <c r="G5" s="6">
        <v>7.0000000000000007E-2</v>
      </c>
      <c r="H5" s="6">
        <v>7.0000000000000007E-2</v>
      </c>
      <c r="I5" s="11">
        <f>$B$5*C5</f>
        <v>0.99880000000000002</v>
      </c>
      <c r="J5" s="11">
        <f t="shared" ref="J5:N5" si="4">$B$5*D5</f>
        <v>14.981999999999999</v>
      </c>
      <c r="K5" s="11">
        <f t="shared" si="4"/>
        <v>4.4946000000000002</v>
      </c>
      <c r="L5" s="11">
        <f t="shared" si="4"/>
        <v>0.34958</v>
      </c>
      <c r="M5" s="11">
        <f t="shared" si="4"/>
        <v>0.34958</v>
      </c>
      <c r="N5" s="11">
        <f t="shared" si="4"/>
        <v>0.34958</v>
      </c>
      <c r="O5">
        <f t="shared" si="3"/>
        <v>1</v>
      </c>
      <c r="P5">
        <f t="shared" si="1"/>
        <v>15</v>
      </c>
      <c r="Q5">
        <f t="shared" si="1"/>
        <v>5</v>
      </c>
      <c r="R5">
        <f t="shared" si="1"/>
        <v>1</v>
      </c>
      <c r="S5">
        <f t="shared" si="1"/>
        <v>1</v>
      </c>
      <c r="T5">
        <f t="shared" si="1"/>
        <v>1</v>
      </c>
    </row>
    <row r="6" spans="1:20" x14ac:dyDescent="0.3">
      <c r="A6" t="s">
        <v>14</v>
      </c>
      <c r="B6">
        <v>8.6982780000000002</v>
      </c>
      <c r="C6" s="6">
        <v>0.23</v>
      </c>
      <c r="D6" s="6">
        <v>3.5</v>
      </c>
      <c r="E6" s="6">
        <v>0.9</v>
      </c>
      <c r="F6" s="6">
        <v>0.1</v>
      </c>
      <c r="G6" s="6">
        <v>0.1</v>
      </c>
      <c r="H6" s="6">
        <v>0.1</v>
      </c>
      <c r="I6" s="11">
        <f>$B$6*C6</f>
        <v>2.00060394</v>
      </c>
      <c r="J6" s="11">
        <f t="shared" ref="J6:N6" si="5">$B$6*D6</f>
        <v>30.443973</v>
      </c>
      <c r="K6" s="11">
        <f t="shared" si="5"/>
        <v>7.8284502000000007</v>
      </c>
      <c r="L6" s="11">
        <f t="shared" si="5"/>
        <v>0.86982780000000004</v>
      </c>
      <c r="M6" s="11">
        <f t="shared" si="5"/>
        <v>0.86982780000000004</v>
      </c>
      <c r="N6" s="11">
        <f t="shared" si="5"/>
        <v>0.86982780000000004</v>
      </c>
      <c r="O6">
        <f t="shared" si="3"/>
        <v>3</v>
      </c>
      <c r="P6">
        <f t="shared" si="1"/>
        <v>31</v>
      </c>
      <c r="Q6">
        <f t="shared" si="1"/>
        <v>8</v>
      </c>
      <c r="R6">
        <f t="shared" si="1"/>
        <v>1</v>
      </c>
      <c r="S6">
        <f t="shared" si="1"/>
        <v>1</v>
      </c>
      <c r="T6">
        <f t="shared" si="1"/>
        <v>1</v>
      </c>
    </row>
    <row r="7" spans="1:20" x14ac:dyDescent="0.3">
      <c r="A7" s="4" t="s">
        <v>15</v>
      </c>
      <c r="B7" s="3">
        <v>3.8138040000000006</v>
      </c>
      <c r="C7" s="6">
        <v>0.2</v>
      </c>
      <c r="D7" s="6">
        <v>3</v>
      </c>
      <c r="E7" s="6">
        <v>0.9</v>
      </c>
      <c r="F7" s="6">
        <v>7.0000000000000007E-2</v>
      </c>
      <c r="G7" s="6">
        <v>7.0000000000000007E-2</v>
      </c>
      <c r="H7" s="6">
        <v>7.0000000000000007E-2</v>
      </c>
      <c r="I7" s="11">
        <f>$B$7*C7</f>
        <v>0.76276080000000013</v>
      </c>
      <c r="J7" s="11">
        <f t="shared" ref="J7:N7" si="6">$B$7*D7</f>
        <v>11.441412000000001</v>
      </c>
      <c r="K7" s="11">
        <f t="shared" si="6"/>
        <v>3.4324236000000008</v>
      </c>
      <c r="L7" s="11">
        <f t="shared" si="6"/>
        <v>0.26696628000000006</v>
      </c>
      <c r="M7" s="11">
        <f t="shared" si="6"/>
        <v>0.26696628000000006</v>
      </c>
      <c r="N7" s="11">
        <f t="shared" si="6"/>
        <v>0.26696628000000006</v>
      </c>
      <c r="O7">
        <f t="shared" si="3"/>
        <v>1</v>
      </c>
      <c r="P7">
        <f t="shared" si="1"/>
        <v>12</v>
      </c>
      <c r="Q7">
        <f t="shared" si="1"/>
        <v>4</v>
      </c>
      <c r="R7">
        <f t="shared" si="1"/>
        <v>1</v>
      </c>
      <c r="S7">
        <f t="shared" si="1"/>
        <v>1</v>
      </c>
      <c r="T7">
        <f t="shared" si="1"/>
        <v>1</v>
      </c>
    </row>
    <row r="8" spans="1:20" x14ac:dyDescent="0.3">
      <c r="A8" t="s">
        <v>17</v>
      </c>
      <c r="B8" s="3">
        <v>47.70920224999999</v>
      </c>
      <c r="C8" s="6">
        <v>0.2</v>
      </c>
      <c r="D8" s="6">
        <v>3</v>
      </c>
      <c r="E8" s="6">
        <v>0.9</v>
      </c>
      <c r="F8" s="6">
        <v>7.0000000000000007E-2</v>
      </c>
      <c r="G8" s="6">
        <v>7.0000000000000007E-2</v>
      </c>
      <c r="H8" s="6">
        <v>7.0000000000000007E-2</v>
      </c>
      <c r="I8" s="11">
        <f>$B$8*C8</f>
        <v>9.5418404499999987</v>
      </c>
      <c r="J8" s="11">
        <f t="shared" ref="J8:N8" si="7">$B$8*D8</f>
        <v>143.12760674999998</v>
      </c>
      <c r="K8" s="11">
        <f t="shared" si="7"/>
        <v>42.938282024999992</v>
      </c>
      <c r="L8" s="11">
        <f t="shared" si="7"/>
        <v>3.3396441574999995</v>
      </c>
      <c r="M8" s="11">
        <f t="shared" si="7"/>
        <v>3.3396441574999995</v>
      </c>
      <c r="N8" s="11">
        <f t="shared" si="7"/>
        <v>3.3396441574999995</v>
      </c>
      <c r="O8">
        <f t="shared" si="3"/>
        <v>10</v>
      </c>
      <c r="P8">
        <f t="shared" si="1"/>
        <v>144</v>
      </c>
      <c r="Q8">
        <f t="shared" si="1"/>
        <v>43</v>
      </c>
      <c r="R8">
        <f t="shared" si="1"/>
        <v>4</v>
      </c>
      <c r="S8">
        <f t="shared" si="1"/>
        <v>4</v>
      </c>
      <c r="T8">
        <f t="shared" si="1"/>
        <v>4</v>
      </c>
    </row>
    <row r="9" spans="1:20" x14ac:dyDescent="0.3">
      <c r="A9" t="s">
        <v>16</v>
      </c>
      <c r="B9" s="5">
        <v>1.3999237499999999</v>
      </c>
      <c r="C9" s="6">
        <v>0.2</v>
      </c>
      <c r="D9" s="6">
        <v>3</v>
      </c>
      <c r="E9" s="6">
        <v>0.9</v>
      </c>
      <c r="F9" s="6">
        <v>7.0000000000000007E-2</v>
      </c>
      <c r="G9" s="6">
        <v>7.0000000000000007E-2</v>
      </c>
      <c r="H9" s="6">
        <v>7.0000000000000007E-2</v>
      </c>
      <c r="I9" s="11">
        <f>$B$9*C9</f>
        <v>0.27998475</v>
      </c>
      <c r="J9" s="11">
        <f t="shared" ref="J9:N9" si="8">$B$9*D9</f>
        <v>4.1997712499999995</v>
      </c>
      <c r="K9" s="11">
        <f t="shared" si="8"/>
        <v>1.2599313749999999</v>
      </c>
      <c r="L9" s="11">
        <f t="shared" si="8"/>
        <v>9.799466250000001E-2</v>
      </c>
      <c r="M9" s="11">
        <f t="shared" si="8"/>
        <v>9.799466250000001E-2</v>
      </c>
      <c r="N9" s="11">
        <f t="shared" si="8"/>
        <v>9.799466250000001E-2</v>
      </c>
      <c r="O9">
        <f t="shared" si="3"/>
        <v>1</v>
      </c>
      <c r="P9">
        <f t="shared" si="1"/>
        <v>5</v>
      </c>
      <c r="Q9">
        <f t="shared" si="1"/>
        <v>2</v>
      </c>
      <c r="R9">
        <f t="shared" si="1"/>
        <v>1</v>
      </c>
      <c r="S9">
        <f t="shared" si="1"/>
        <v>1</v>
      </c>
      <c r="T9">
        <f t="shared" si="1"/>
        <v>1</v>
      </c>
    </row>
    <row r="12" spans="1:20" x14ac:dyDescent="0.3">
      <c r="B12" t="s">
        <v>0</v>
      </c>
      <c r="C12" t="s">
        <v>1</v>
      </c>
      <c r="D12" t="s">
        <v>3</v>
      </c>
      <c r="E12" t="s">
        <v>4</v>
      </c>
      <c r="F12" t="s">
        <v>5</v>
      </c>
      <c r="G12" t="s">
        <v>39</v>
      </c>
    </row>
    <row r="13" spans="1:20" x14ac:dyDescent="0.3">
      <c r="A13" t="s">
        <v>11</v>
      </c>
      <c r="B13">
        <v>1</v>
      </c>
      <c r="C13">
        <v>5</v>
      </c>
      <c r="D13">
        <v>2</v>
      </c>
      <c r="E13">
        <v>1</v>
      </c>
      <c r="F13">
        <v>1</v>
      </c>
      <c r="G13">
        <v>1</v>
      </c>
    </row>
    <row r="14" spans="1:20" x14ac:dyDescent="0.3">
      <c r="A14" t="s">
        <v>12</v>
      </c>
      <c r="B14">
        <v>1</v>
      </c>
      <c r="C14">
        <v>9</v>
      </c>
      <c r="D14">
        <v>4</v>
      </c>
      <c r="E14">
        <v>1</v>
      </c>
      <c r="F14">
        <v>1</v>
      </c>
      <c r="G14">
        <v>1</v>
      </c>
    </row>
    <row r="15" spans="1:20" x14ac:dyDescent="0.3">
      <c r="A15" t="s">
        <v>13</v>
      </c>
      <c r="B15">
        <v>1</v>
      </c>
      <c r="C15">
        <v>15</v>
      </c>
      <c r="D15">
        <v>5</v>
      </c>
      <c r="E15">
        <v>1</v>
      </c>
      <c r="F15">
        <v>1</v>
      </c>
      <c r="G15">
        <v>1</v>
      </c>
    </row>
    <row r="16" spans="1:20" x14ac:dyDescent="0.3">
      <c r="A16" t="s">
        <v>14</v>
      </c>
      <c r="B16">
        <v>3</v>
      </c>
      <c r="C16">
        <v>31</v>
      </c>
      <c r="D16">
        <v>8</v>
      </c>
      <c r="E16">
        <v>1</v>
      </c>
      <c r="F16">
        <v>1</v>
      </c>
      <c r="G16">
        <v>1</v>
      </c>
    </row>
    <row r="17" spans="1:7" x14ac:dyDescent="0.3">
      <c r="A17" s="4" t="s">
        <v>15</v>
      </c>
      <c r="B17">
        <v>1</v>
      </c>
      <c r="C17">
        <v>12</v>
      </c>
      <c r="D17">
        <v>4</v>
      </c>
      <c r="E17">
        <v>1</v>
      </c>
      <c r="F17">
        <v>1</v>
      </c>
      <c r="G17">
        <v>1</v>
      </c>
    </row>
    <row r="18" spans="1:7" x14ac:dyDescent="0.3">
      <c r="A18" t="s">
        <v>17</v>
      </c>
      <c r="B18">
        <v>10</v>
      </c>
      <c r="C18">
        <v>144</v>
      </c>
      <c r="D18">
        <v>43</v>
      </c>
      <c r="E18">
        <v>4</v>
      </c>
      <c r="F18">
        <v>4</v>
      </c>
      <c r="G18">
        <v>4</v>
      </c>
    </row>
    <row r="19" spans="1:7" x14ac:dyDescent="0.3">
      <c r="A19" t="s">
        <v>16</v>
      </c>
      <c r="B19">
        <v>1</v>
      </c>
      <c r="C19">
        <v>5</v>
      </c>
      <c r="D19">
        <v>2</v>
      </c>
      <c r="E19">
        <v>1</v>
      </c>
      <c r="F19">
        <v>1</v>
      </c>
      <c r="G19">
        <v>1</v>
      </c>
    </row>
    <row r="22" spans="1:7" x14ac:dyDescent="0.3">
      <c r="B22">
        <v>10</v>
      </c>
      <c r="C22">
        <v>144</v>
      </c>
      <c r="D22">
        <v>43</v>
      </c>
      <c r="E22">
        <v>4</v>
      </c>
      <c r="F22">
        <v>4</v>
      </c>
      <c r="G22">
        <v>4</v>
      </c>
    </row>
    <row r="23" spans="1:7" x14ac:dyDescent="0.3">
      <c r="B23">
        <f t="shared" ref="B23:G23" si="9">B22/2</f>
        <v>5</v>
      </c>
      <c r="C23">
        <f t="shared" si="9"/>
        <v>72</v>
      </c>
      <c r="D23">
        <f t="shared" si="9"/>
        <v>21.5</v>
      </c>
      <c r="E23">
        <f t="shared" si="9"/>
        <v>2</v>
      </c>
      <c r="F23">
        <f t="shared" si="9"/>
        <v>2</v>
      </c>
      <c r="G23">
        <f t="shared" si="9"/>
        <v>2</v>
      </c>
    </row>
  </sheetData>
  <mergeCells count="1">
    <mergeCell ref="C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6A43F-BED0-476E-B8DA-D226D22819DD}">
  <dimension ref="A1:U22"/>
  <sheetViews>
    <sheetView workbookViewId="0">
      <selection activeCell="K3" sqref="K3"/>
    </sheetView>
  </sheetViews>
  <sheetFormatPr defaultColWidth="8.88671875" defaultRowHeight="14.4" x14ac:dyDescent="0.3"/>
  <cols>
    <col min="1" max="1" width="20" style="7" customWidth="1"/>
    <col min="2" max="2" width="16.109375" style="7" customWidth="1"/>
    <col min="3" max="8" width="8.88671875" style="7"/>
    <col min="9" max="9" width="13.5546875" style="7" customWidth="1"/>
    <col min="10" max="13" width="8.88671875" style="7"/>
    <col min="14" max="14" width="12.88671875" style="7" bestFit="1" customWidth="1"/>
    <col min="15" max="19" width="8.88671875" style="7"/>
    <col min="20" max="20" width="12.88671875" style="7" bestFit="1" customWidth="1"/>
    <col min="21" max="16384" width="8.88671875" style="7"/>
  </cols>
  <sheetData>
    <row r="1" spans="1:21" x14ac:dyDescent="0.3">
      <c r="C1" s="14" t="s">
        <v>7</v>
      </c>
      <c r="D1" s="14"/>
      <c r="E1" s="14"/>
      <c r="F1" s="14"/>
      <c r="G1" s="14"/>
      <c r="J1" s="14" t="s">
        <v>8</v>
      </c>
      <c r="K1" s="14"/>
      <c r="L1" s="14"/>
      <c r="M1" s="14"/>
      <c r="N1" s="14"/>
      <c r="O1" s="14"/>
    </row>
    <row r="2" spans="1:21" x14ac:dyDescent="0.3">
      <c r="A2" s="7" t="s">
        <v>2</v>
      </c>
      <c r="B2" s="7" t="s">
        <v>27</v>
      </c>
      <c r="C2" s="7" t="s">
        <v>0</v>
      </c>
      <c r="D2" s="7" t="s">
        <v>1</v>
      </c>
      <c r="E2" s="7" t="s">
        <v>3</v>
      </c>
      <c r="F2" s="7" t="s">
        <v>4</v>
      </c>
      <c r="G2" s="7" t="s">
        <v>5</v>
      </c>
      <c r="H2" s="7" t="s">
        <v>40</v>
      </c>
      <c r="I2" s="7" t="s">
        <v>41</v>
      </c>
      <c r="J2" s="7" t="s">
        <v>0</v>
      </c>
      <c r="K2" s="7" t="s">
        <v>1</v>
      </c>
      <c r="L2" s="7" t="s">
        <v>3</v>
      </c>
      <c r="M2" s="7" t="s">
        <v>4</v>
      </c>
      <c r="N2" s="7" t="s">
        <v>5</v>
      </c>
      <c r="O2" s="7" t="s">
        <v>43</v>
      </c>
      <c r="P2" s="7" t="s">
        <v>0</v>
      </c>
      <c r="Q2" s="7" t="s">
        <v>1</v>
      </c>
      <c r="R2" s="7" t="s">
        <v>3</v>
      </c>
      <c r="S2" s="7" t="s">
        <v>4</v>
      </c>
      <c r="T2" s="7" t="s">
        <v>5</v>
      </c>
      <c r="U2" s="7" t="s">
        <v>43</v>
      </c>
    </row>
    <row r="3" spans="1:21" x14ac:dyDescent="0.3">
      <c r="A3" s="7" t="s">
        <v>18</v>
      </c>
      <c r="B3" s="9">
        <f>7.56+7.19+4.05+8.591</f>
        <v>27.390999999999998</v>
      </c>
      <c r="C3" s="8"/>
      <c r="D3" s="8">
        <v>0.2</v>
      </c>
      <c r="E3" s="8"/>
      <c r="F3" s="8"/>
      <c r="G3" s="8"/>
      <c r="H3" s="8">
        <v>0.25</v>
      </c>
      <c r="I3" s="8"/>
      <c r="J3" s="12"/>
      <c r="K3" s="12">
        <f>$B$3*D3</f>
        <v>5.4782000000000002</v>
      </c>
      <c r="L3" s="12">
        <f t="shared" ref="L3:O3" si="0">$B$3*E3</f>
        <v>0</v>
      </c>
      <c r="M3" s="12">
        <f t="shared" si="0"/>
        <v>0</v>
      </c>
      <c r="N3" s="12">
        <f t="shared" si="0"/>
        <v>0</v>
      </c>
      <c r="O3" s="12">
        <f t="shared" si="0"/>
        <v>6.8477499999999996</v>
      </c>
      <c r="P3" s="7">
        <f>ROUNDUP(J3,0)</f>
        <v>0</v>
      </c>
      <c r="Q3" s="7">
        <f t="shared" ref="Q3:U11" si="1">ROUNDUP(K3,0)</f>
        <v>6</v>
      </c>
      <c r="R3" s="7">
        <f t="shared" si="1"/>
        <v>0</v>
      </c>
      <c r="S3" s="7">
        <f t="shared" si="1"/>
        <v>0</v>
      </c>
      <c r="T3" s="7">
        <f t="shared" si="1"/>
        <v>0</v>
      </c>
      <c r="U3" s="7">
        <f t="shared" si="1"/>
        <v>7</v>
      </c>
    </row>
    <row r="4" spans="1:21" x14ac:dyDescent="0.3">
      <c r="A4" s="7" t="s">
        <v>19</v>
      </c>
      <c r="B4" s="9">
        <f>90.63+48.96+12.42</f>
        <v>152.01</v>
      </c>
      <c r="C4" s="8"/>
      <c r="D4" s="8">
        <v>0.2</v>
      </c>
      <c r="E4" s="8"/>
      <c r="F4" s="8"/>
      <c r="G4" s="8"/>
      <c r="H4" s="8">
        <v>0.25</v>
      </c>
      <c r="I4" s="8"/>
      <c r="J4" s="12"/>
      <c r="K4" s="12">
        <f>$B$4*D4</f>
        <v>30.402000000000001</v>
      </c>
      <c r="L4" s="12">
        <f t="shared" ref="L4:O4" si="2">$B$4*E4</f>
        <v>0</v>
      </c>
      <c r="M4" s="12">
        <f t="shared" si="2"/>
        <v>0</v>
      </c>
      <c r="N4" s="12">
        <f t="shared" si="2"/>
        <v>0</v>
      </c>
      <c r="O4" s="12">
        <f t="shared" si="2"/>
        <v>38.002499999999998</v>
      </c>
      <c r="P4" s="7">
        <f t="shared" ref="P4:P11" si="3">ROUNDUP(J4,0)</f>
        <v>0</v>
      </c>
      <c r="Q4" s="7">
        <f t="shared" si="1"/>
        <v>31</v>
      </c>
      <c r="R4" s="7">
        <f t="shared" si="1"/>
        <v>0</v>
      </c>
      <c r="S4" s="7">
        <f t="shared" si="1"/>
        <v>0</v>
      </c>
      <c r="T4" s="7">
        <f t="shared" si="1"/>
        <v>0</v>
      </c>
      <c r="U4" s="7">
        <f t="shared" si="1"/>
        <v>39</v>
      </c>
    </row>
    <row r="5" spans="1:21" x14ac:dyDescent="0.3">
      <c r="A5" s="7" t="s">
        <v>20</v>
      </c>
      <c r="B5" s="9">
        <f>27.2+12.4</f>
        <v>39.6</v>
      </c>
      <c r="C5" s="8"/>
      <c r="D5" s="8">
        <v>0.2</v>
      </c>
      <c r="E5" s="8"/>
      <c r="F5" s="8"/>
      <c r="G5" s="8"/>
      <c r="H5" s="8">
        <v>0.3</v>
      </c>
      <c r="I5" s="8"/>
      <c r="J5" s="12"/>
      <c r="K5" s="12">
        <f>$B$5*D5</f>
        <v>7.9200000000000008</v>
      </c>
      <c r="L5" s="12">
        <f t="shared" ref="L5:O5" si="4">$B$5*E5</f>
        <v>0</v>
      </c>
      <c r="M5" s="12">
        <f t="shared" si="4"/>
        <v>0</v>
      </c>
      <c r="N5" s="12">
        <f t="shared" si="4"/>
        <v>0</v>
      </c>
      <c r="O5" s="12">
        <f t="shared" si="4"/>
        <v>11.88</v>
      </c>
      <c r="P5" s="7">
        <f t="shared" si="3"/>
        <v>0</v>
      </c>
      <c r="Q5" s="7">
        <f t="shared" si="1"/>
        <v>8</v>
      </c>
      <c r="R5" s="7">
        <f t="shared" si="1"/>
        <v>0</v>
      </c>
      <c r="S5" s="7">
        <f t="shared" si="1"/>
        <v>0</v>
      </c>
      <c r="T5" s="7">
        <f t="shared" si="1"/>
        <v>0</v>
      </c>
      <c r="U5" s="7">
        <f t="shared" si="1"/>
        <v>12</v>
      </c>
    </row>
    <row r="6" spans="1:21" x14ac:dyDescent="0.3">
      <c r="A6" s="7" t="s">
        <v>21</v>
      </c>
      <c r="B6" s="9">
        <f>42.9+20.84+13.54</f>
        <v>77.28</v>
      </c>
      <c r="C6" s="8"/>
      <c r="D6" s="8">
        <v>0.2</v>
      </c>
      <c r="E6" s="8"/>
      <c r="F6" s="8"/>
      <c r="G6" s="8"/>
      <c r="H6" s="8">
        <v>0.3</v>
      </c>
      <c r="I6" s="8"/>
      <c r="J6" s="12"/>
      <c r="K6" s="12">
        <f>$B$6*D6</f>
        <v>15.456000000000001</v>
      </c>
      <c r="L6" s="12">
        <f t="shared" ref="L6:O6" si="5">$B$6*E6</f>
        <v>0</v>
      </c>
      <c r="M6" s="12">
        <f t="shared" si="5"/>
        <v>0</v>
      </c>
      <c r="N6" s="12">
        <f t="shared" si="5"/>
        <v>0</v>
      </c>
      <c r="O6" s="12">
        <f t="shared" si="5"/>
        <v>23.184000000000001</v>
      </c>
      <c r="P6" s="7">
        <f t="shared" si="3"/>
        <v>0</v>
      </c>
      <c r="Q6" s="7">
        <f t="shared" si="1"/>
        <v>16</v>
      </c>
      <c r="R6" s="7">
        <f t="shared" si="1"/>
        <v>0</v>
      </c>
      <c r="S6" s="7">
        <f t="shared" si="1"/>
        <v>0</v>
      </c>
      <c r="T6" s="7">
        <f t="shared" si="1"/>
        <v>0</v>
      </c>
      <c r="U6" s="7">
        <f t="shared" si="1"/>
        <v>24</v>
      </c>
    </row>
    <row r="7" spans="1:21" x14ac:dyDescent="0.3">
      <c r="A7" s="7" t="s">
        <v>22</v>
      </c>
      <c r="B7" s="9">
        <f>8.344</f>
        <v>8.3439999999999994</v>
      </c>
      <c r="C7" s="8"/>
      <c r="D7" s="8">
        <v>0.2</v>
      </c>
      <c r="E7" s="8"/>
      <c r="F7" s="8"/>
      <c r="G7" s="8"/>
      <c r="H7" s="8">
        <v>0.3</v>
      </c>
      <c r="I7" s="8"/>
      <c r="J7" s="12"/>
      <c r="K7" s="12">
        <f>$B$7*D7</f>
        <v>1.6688000000000001</v>
      </c>
      <c r="L7" s="12">
        <f t="shared" ref="L7:O7" si="6">$B$7*E7</f>
        <v>0</v>
      </c>
      <c r="M7" s="12">
        <f t="shared" si="6"/>
        <v>0</v>
      </c>
      <c r="N7" s="12">
        <f t="shared" si="6"/>
        <v>0</v>
      </c>
      <c r="O7" s="12">
        <f t="shared" si="6"/>
        <v>2.5031999999999996</v>
      </c>
      <c r="P7" s="7">
        <f t="shared" si="3"/>
        <v>0</v>
      </c>
      <c r="Q7" s="7">
        <f t="shared" si="1"/>
        <v>2</v>
      </c>
      <c r="R7" s="7">
        <f t="shared" si="1"/>
        <v>0</v>
      </c>
      <c r="S7" s="7">
        <f t="shared" si="1"/>
        <v>0</v>
      </c>
      <c r="T7" s="7">
        <f t="shared" si="1"/>
        <v>0</v>
      </c>
      <c r="U7" s="7">
        <f t="shared" si="1"/>
        <v>3</v>
      </c>
    </row>
    <row r="8" spans="1:21" x14ac:dyDescent="0.3">
      <c r="A8" s="7" t="s">
        <v>23</v>
      </c>
      <c r="B8" s="9">
        <v>211.80099999999999</v>
      </c>
      <c r="C8" s="8"/>
      <c r="D8" s="8">
        <v>0.2</v>
      </c>
      <c r="E8" s="8"/>
      <c r="F8" s="8"/>
      <c r="G8" s="8"/>
      <c r="H8" s="8">
        <v>0.23</v>
      </c>
      <c r="I8" s="8"/>
      <c r="J8" s="12"/>
      <c r="K8" s="12">
        <f>$B$8*D8</f>
        <v>42.360199999999999</v>
      </c>
      <c r="L8" s="12">
        <f t="shared" ref="L8:O8" si="7">$B$8*E8</f>
        <v>0</v>
      </c>
      <c r="M8" s="12">
        <f t="shared" si="7"/>
        <v>0</v>
      </c>
      <c r="N8" s="12">
        <f t="shared" si="7"/>
        <v>0</v>
      </c>
      <c r="O8" s="12">
        <f t="shared" si="7"/>
        <v>48.714230000000001</v>
      </c>
      <c r="P8" s="7">
        <f t="shared" si="3"/>
        <v>0</v>
      </c>
      <c r="Q8" s="7">
        <f t="shared" si="1"/>
        <v>43</v>
      </c>
      <c r="R8" s="7">
        <f t="shared" si="1"/>
        <v>0</v>
      </c>
      <c r="S8" s="7">
        <f t="shared" si="1"/>
        <v>0</v>
      </c>
      <c r="T8" s="7">
        <f t="shared" si="1"/>
        <v>0</v>
      </c>
      <c r="U8" s="7">
        <f t="shared" si="1"/>
        <v>49</v>
      </c>
    </row>
    <row r="9" spans="1:21" x14ac:dyDescent="0.3">
      <c r="A9" s="7" t="s">
        <v>24</v>
      </c>
      <c r="B9" s="9">
        <v>9.26</v>
      </c>
      <c r="C9" s="8"/>
      <c r="D9" s="8">
        <v>0.2</v>
      </c>
      <c r="E9" s="8"/>
      <c r="F9" s="8"/>
      <c r="G9" s="8"/>
      <c r="H9" s="8">
        <v>0.3</v>
      </c>
      <c r="I9" s="8"/>
      <c r="J9" s="12"/>
      <c r="K9" s="12">
        <f>$B$9*D9</f>
        <v>1.8520000000000001</v>
      </c>
      <c r="L9" s="12">
        <f t="shared" ref="L9:O9" si="8">$B$9*E9</f>
        <v>0</v>
      </c>
      <c r="M9" s="12">
        <f t="shared" si="8"/>
        <v>0</v>
      </c>
      <c r="N9" s="12">
        <f t="shared" si="8"/>
        <v>0</v>
      </c>
      <c r="O9" s="12">
        <f t="shared" si="8"/>
        <v>2.778</v>
      </c>
      <c r="P9" s="7">
        <f t="shared" si="3"/>
        <v>0</v>
      </c>
      <c r="Q9" s="7">
        <f t="shared" si="1"/>
        <v>2</v>
      </c>
      <c r="R9" s="7">
        <f t="shared" si="1"/>
        <v>0</v>
      </c>
      <c r="S9" s="7">
        <f t="shared" si="1"/>
        <v>0</v>
      </c>
      <c r="T9" s="7">
        <f t="shared" si="1"/>
        <v>0</v>
      </c>
      <c r="U9" s="7">
        <f t="shared" si="1"/>
        <v>3</v>
      </c>
    </row>
    <row r="10" spans="1:21" x14ac:dyDescent="0.3">
      <c r="A10" s="7" t="s">
        <v>25</v>
      </c>
      <c r="B10" s="9">
        <v>28.762</v>
      </c>
      <c r="C10" s="8"/>
      <c r="D10" s="8">
        <v>0.2</v>
      </c>
      <c r="E10" s="8"/>
      <c r="F10" s="8"/>
      <c r="G10" s="8"/>
      <c r="H10" s="8">
        <v>0.23</v>
      </c>
      <c r="I10" s="8"/>
      <c r="J10" s="12"/>
      <c r="K10" s="12">
        <f>$B$10*D10</f>
        <v>5.7524000000000006</v>
      </c>
      <c r="L10" s="12">
        <f t="shared" ref="L10:O10" si="9">$B$10*E10</f>
        <v>0</v>
      </c>
      <c r="M10" s="12">
        <f t="shared" si="9"/>
        <v>0</v>
      </c>
      <c r="N10" s="12">
        <f t="shared" si="9"/>
        <v>0</v>
      </c>
      <c r="O10" s="12">
        <f t="shared" si="9"/>
        <v>6.6152600000000001</v>
      </c>
      <c r="P10" s="7">
        <f t="shared" si="3"/>
        <v>0</v>
      </c>
      <c r="Q10" s="7">
        <f t="shared" si="1"/>
        <v>6</v>
      </c>
      <c r="R10" s="7">
        <f t="shared" si="1"/>
        <v>0</v>
      </c>
      <c r="S10" s="7">
        <f t="shared" si="1"/>
        <v>0</v>
      </c>
      <c r="T10" s="7">
        <f t="shared" si="1"/>
        <v>0</v>
      </c>
      <c r="U10" s="7">
        <f t="shared" si="1"/>
        <v>7</v>
      </c>
    </row>
    <row r="11" spans="1:21" x14ac:dyDescent="0.3">
      <c r="A11" s="7" t="s">
        <v>26</v>
      </c>
      <c r="B11" s="9">
        <v>17.68</v>
      </c>
      <c r="C11" s="8"/>
      <c r="D11" s="8">
        <v>0.2</v>
      </c>
      <c r="E11" s="8"/>
      <c r="F11" s="8"/>
      <c r="G11" s="8"/>
      <c r="H11" s="8">
        <v>0.23</v>
      </c>
      <c r="I11" s="8"/>
      <c r="J11" s="12"/>
      <c r="K11" s="12">
        <f>$B$11*D11</f>
        <v>3.536</v>
      </c>
      <c r="L11" s="12">
        <f t="shared" ref="L11:O11" si="10">$B$11*E11</f>
        <v>0</v>
      </c>
      <c r="M11" s="12">
        <f t="shared" si="10"/>
        <v>0</v>
      </c>
      <c r="N11" s="12">
        <f t="shared" si="10"/>
        <v>0</v>
      </c>
      <c r="O11" s="12">
        <f t="shared" si="10"/>
        <v>4.0663999999999998</v>
      </c>
      <c r="P11" s="7">
        <f t="shared" si="3"/>
        <v>0</v>
      </c>
      <c r="Q11" s="7">
        <f t="shared" si="1"/>
        <v>4</v>
      </c>
      <c r="R11" s="7">
        <f t="shared" si="1"/>
        <v>0</v>
      </c>
      <c r="S11" s="7">
        <f t="shared" si="1"/>
        <v>0</v>
      </c>
      <c r="T11" s="7">
        <f t="shared" si="1"/>
        <v>0</v>
      </c>
      <c r="U11" s="7">
        <f t="shared" si="1"/>
        <v>5</v>
      </c>
    </row>
    <row r="13" spans="1:21" x14ac:dyDescent="0.3">
      <c r="B13" s="7" t="s">
        <v>0</v>
      </c>
      <c r="C13" s="7" t="s">
        <v>1</v>
      </c>
      <c r="D13" s="7" t="s">
        <v>3</v>
      </c>
      <c r="E13" s="7" t="s">
        <v>4</v>
      </c>
      <c r="F13" s="7" t="s">
        <v>5</v>
      </c>
      <c r="G13" s="7" t="s">
        <v>43</v>
      </c>
    </row>
    <row r="14" spans="1:21" x14ac:dyDescent="0.3">
      <c r="A14" s="7" t="s">
        <v>18</v>
      </c>
      <c r="B14" s="7">
        <v>0</v>
      </c>
      <c r="C14" s="7">
        <v>6</v>
      </c>
      <c r="D14" s="7">
        <v>0</v>
      </c>
      <c r="E14" s="7">
        <v>0</v>
      </c>
      <c r="F14" s="7">
        <v>0</v>
      </c>
      <c r="G14" s="7">
        <v>7</v>
      </c>
    </row>
    <row r="15" spans="1:21" x14ac:dyDescent="0.3">
      <c r="A15" s="7" t="s">
        <v>19</v>
      </c>
      <c r="B15" s="7">
        <v>0</v>
      </c>
      <c r="C15" s="7">
        <v>31</v>
      </c>
      <c r="D15" s="7">
        <v>0</v>
      </c>
      <c r="E15" s="7">
        <v>0</v>
      </c>
      <c r="F15" s="7">
        <v>0</v>
      </c>
      <c r="G15" s="7">
        <v>39</v>
      </c>
    </row>
    <row r="16" spans="1:21" x14ac:dyDescent="0.3">
      <c r="A16" s="7" t="s">
        <v>20</v>
      </c>
      <c r="B16" s="7">
        <v>0</v>
      </c>
      <c r="C16" s="7">
        <v>8</v>
      </c>
      <c r="D16" s="7">
        <v>0</v>
      </c>
      <c r="E16" s="7">
        <v>0</v>
      </c>
      <c r="F16" s="7">
        <v>0</v>
      </c>
      <c r="G16" s="7">
        <v>12</v>
      </c>
    </row>
    <row r="17" spans="1:7" x14ac:dyDescent="0.3">
      <c r="A17" s="7" t="s">
        <v>21</v>
      </c>
      <c r="B17" s="7">
        <v>0</v>
      </c>
      <c r="C17" s="7">
        <v>16</v>
      </c>
      <c r="D17" s="7">
        <v>0</v>
      </c>
      <c r="E17" s="7">
        <v>0</v>
      </c>
      <c r="F17" s="7">
        <v>0</v>
      </c>
      <c r="G17" s="7">
        <v>24</v>
      </c>
    </row>
    <row r="18" spans="1:7" x14ac:dyDescent="0.3">
      <c r="A18" s="7" t="s">
        <v>22</v>
      </c>
      <c r="B18" s="7">
        <v>0</v>
      </c>
      <c r="C18" s="7">
        <v>2</v>
      </c>
      <c r="D18" s="7">
        <v>0</v>
      </c>
      <c r="E18" s="7">
        <v>0</v>
      </c>
      <c r="F18" s="7">
        <v>0</v>
      </c>
      <c r="G18" s="7">
        <v>3</v>
      </c>
    </row>
    <row r="19" spans="1:7" x14ac:dyDescent="0.3">
      <c r="A19" s="7" t="s">
        <v>23</v>
      </c>
      <c r="B19" s="7">
        <v>0</v>
      </c>
      <c r="C19" s="7">
        <v>43</v>
      </c>
      <c r="D19" s="7">
        <v>0</v>
      </c>
      <c r="E19" s="7">
        <v>0</v>
      </c>
      <c r="F19" s="7">
        <v>0</v>
      </c>
      <c r="G19" s="7">
        <v>49</v>
      </c>
    </row>
    <row r="20" spans="1:7" x14ac:dyDescent="0.3">
      <c r="A20" s="7" t="s">
        <v>24</v>
      </c>
      <c r="B20" s="7">
        <v>0</v>
      </c>
      <c r="C20" s="7">
        <v>2</v>
      </c>
      <c r="D20" s="7">
        <v>0</v>
      </c>
      <c r="E20" s="7">
        <v>0</v>
      </c>
      <c r="F20" s="7">
        <v>0</v>
      </c>
      <c r="G20" s="7">
        <v>3</v>
      </c>
    </row>
    <row r="21" spans="1:7" x14ac:dyDescent="0.3">
      <c r="A21" s="7" t="s">
        <v>25</v>
      </c>
      <c r="B21" s="7">
        <v>0</v>
      </c>
      <c r="C21" s="7">
        <v>6</v>
      </c>
      <c r="D21" s="7">
        <v>0</v>
      </c>
      <c r="E21" s="7">
        <v>0</v>
      </c>
      <c r="F21" s="7">
        <v>0</v>
      </c>
      <c r="G21" s="7">
        <v>7</v>
      </c>
    </row>
    <row r="22" spans="1:7" x14ac:dyDescent="0.3">
      <c r="A22" s="7" t="s">
        <v>26</v>
      </c>
      <c r="B22" s="7">
        <v>0</v>
      </c>
      <c r="C22" s="7">
        <v>4</v>
      </c>
      <c r="D22" s="7">
        <v>0</v>
      </c>
      <c r="E22" s="7">
        <v>0</v>
      </c>
      <c r="F22" s="7">
        <v>0</v>
      </c>
      <c r="G22" s="7">
        <v>5</v>
      </c>
    </row>
  </sheetData>
  <mergeCells count="2">
    <mergeCell ref="C1:G1"/>
    <mergeCell ref="J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97F9-002E-489F-8257-E41EB23FA7F5}">
  <dimension ref="A1:Q6"/>
  <sheetViews>
    <sheetView topLeftCell="I1" workbookViewId="0">
      <selection activeCell="M2" sqref="M2:Q2"/>
    </sheetView>
  </sheetViews>
  <sheetFormatPr defaultRowHeight="14.4" x14ac:dyDescent="0.3"/>
  <cols>
    <col min="1" max="2" width="12.33203125" customWidth="1"/>
    <col min="12" max="12" width="12.33203125" customWidth="1"/>
  </cols>
  <sheetData>
    <row r="1" spans="1:17" x14ac:dyDescent="0.3">
      <c r="C1" s="13" t="s">
        <v>7</v>
      </c>
      <c r="D1" s="13"/>
      <c r="E1" s="13"/>
      <c r="F1" s="13"/>
      <c r="G1" s="13"/>
      <c r="H1" t="s">
        <v>8</v>
      </c>
    </row>
    <row r="2" spans="1:17" x14ac:dyDescent="0.3">
      <c r="A2" t="s">
        <v>2</v>
      </c>
      <c r="B2" t="s">
        <v>6</v>
      </c>
      <c r="C2" t="s">
        <v>0</v>
      </c>
      <c r="D2" t="s">
        <v>1</v>
      </c>
      <c r="E2" t="s">
        <v>3</v>
      </c>
      <c r="F2" t="s">
        <v>4</v>
      </c>
      <c r="G2" t="s">
        <v>5</v>
      </c>
      <c r="H2" t="s">
        <v>0</v>
      </c>
      <c r="I2" t="s">
        <v>1</v>
      </c>
      <c r="J2" t="s">
        <v>3</v>
      </c>
      <c r="K2" t="s">
        <v>4</v>
      </c>
      <c r="L2" t="s">
        <v>5</v>
      </c>
      <c r="M2" t="s">
        <v>0</v>
      </c>
      <c r="N2" t="s">
        <v>1</v>
      </c>
      <c r="O2" t="s">
        <v>3</v>
      </c>
      <c r="P2" t="s">
        <v>4</v>
      </c>
      <c r="Q2" t="s">
        <v>5</v>
      </c>
    </row>
    <row r="3" spans="1:17" x14ac:dyDescent="0.3">
      <c r="A3" t="s">
        <v>28</v>
      </c>
      <c r="B3">
        <v>39.468000000000004</v>
      </c>
      <c r="C3" s="6">
        <v>0.25</v>
      </c>
      <c r="D3" s="6">
        <v>0.4</v>
      </c>
      <c r="E3" s="6">
        <v>0.1</v>
      </c>
      <c r="F3" s="6"/>
      <c r="G3" s="6"/>
      <c r="H3" s="11">
        <f>$B$3*C3</f>
        <v>9.8670000000000009</v>
      </c>
      <c r="I3" s="11">
        <f t="shared" ref="I3:J3" si="0">$B$3*D3</f>
        <v>15.787200000000002</v>
      </c>
      <c r="J3" s="11">
        <f t="shared" si="0"/>
        <v>3.9468000000000005</v>
      </c>
      <c r="K3" s="11"/>
      <c r="L3" s="11"/>
      <c r="M3">
        <f>ROUNDUP(H3,0)</f>
        <v>10</v>
      </c>
      <c r="N3">
        <f t="shared" ref="N3:P6" si="1">ROUNDUP(I3,0)</f>
        <v>16</v>
      </c>
      <c r="O3">
        <f t="shared" si="1"/>
        <v>4</v>
      </c>
      <c r="P3">
        <f t="shared" si="1"/>
        <v>0</v>
      </c>
    </row>
    <row r="4" spans="1:17" x14ac:dyDescent="0.3">
      <c r="A4" t="s">
        <v>30</v>
      </c>
      <c r="B4">
        <v>44.820999999999998</v>
      </c>
      <c r="C4" s="6">
        <v>0.25</v>
      </c>
      <c r="D4" s="6">
        <v>0.4</v>
      </c>
      <c r="E4" s="6">
        <v>0.1</v>
      </c>
      <c r="F4" s="6"/>
      <c r="G4" s="6"/>
      <c r="H4" s="11">
        <f>$B$4*C4</f>
        <v>11.205249999999999</v>
      </c>
      <c r="I4" s="11">
        <f t="shared" ref="I4:J4" si="2">$B$4*D4</f>
        <v>17.9284</v>
      </c>
      <c r="J4" s="11">
        <f t="shared" si="2"/>
        <v>4.4821</v>
      </c>
      <c r="K4" s="11"/>
      <c r="L4" s="11"/>
      <c r="M4">
        <f t="shared" ref="M4:M6" si="3">ROUNDUP(H4,0)</f>
        <v>12</v>
      </c>
      <c r="N4">
        <f t="shared" si="1"/>
        <v>18</v>
      </c>
      <c r="O4">
        <f t="shared" si="1"/>
        <v>5</v>
      </c>
      <c r="P4">
        <f t="shared" si="1"/>
        <v>0</v>
      </c>
    </row>
    <row r="5" spans="1:17" x14ac:dyDescent="0.3">
      <c r="A5" t="s">
        <v>29</v>
      </c>
      <c r="B5">
        <v>13.319000000000001</v>
      </c>
      <c r="C5" s="6">
        <v>0.25</v>
      </c>
      <c r="D5" s="6">
        <v>0.4</v>
      </c>
      <c r="E5" s="6">
        <v>0.1</v>
      </c>
      <c r="F5" s="6"/>
      <c r="G5" s="6"/>
      <c r="H5" s="11">
        <f>$B$5*C5</f>
        <v>3.3297500000000002</v>
      </c>
      <c r="I5" s="11">
        <f t="shared" ref="I5:J5" si="4">$B$5*D5</f>
        <v>5.3276000000000003</v>
      </c>
      <c r="J5" s="11">
        <f t="shared" si="4"/>
        <v>1.3319000000000001</v>
      </c>
      <c r="K5" s="11"/>
      <c r="L5" s="11"/>
      <c r="M5">
        <f t="shared" si="3"/>
        <v>4</v>
      </c>
      <c r="N5">
        <f t="shared" si="1"/>
        <v>6</v>
      </c>
      <c r="O5">
        <f t="shared" si="1"/>
        <v>2</v>
      </c>
      <c r="P5">
        <f t="shared" si="1"/>
        <v>0</v>
      </c>
    </row>
    <row r="6" spans="1:17" x14ac:dyDescent="0.3">
      <c r="A6" t="s">
        <v>31</v>
      </c>
      <c r="B6">
        <v>16.93</v>
      </c>
      <c r="C6" s="6">
        <v>0.25</v>
      </c>
      <c r="D6" s="6">
        <v>0.4</v>
      </c>
      <c r="E6" s="6">
        <v>0.1</v>
      </c>
      <c r="F6" s="6"/>
      <c r="G6" s="6"/>
      <c r="H6" s="11">
        <f>$B$6*C6</f>
        <v>4.2324999999999999</v>
      </c>
      <c r="I6" s="11">
        <f t="shared" ref="I6:J6" si="5">$B$6*D6</f>
        <v>6.7720000000000002</v>
      </c>
      <c r="J6" s="11">
        <f t="shared" si="5"/>
        <v>1.6930000000000001</v>
      </c>
      <c r="K6" s="11"/>
      <c r="L6" s="11"/>
      <c r="M6">
        <f t="shared" si="3"/>
        <v>5</v>
      </c>
      <c r="N6">
        <f t="shared" si="1"/>
        <v>7</v>
      </c>
      <c r="O6">
        <f t="shared" si="1"/>
        <v>2</v>
      </c>
      <c r="P6">
        <f t="shared" si="1"/>
        <v>0</v>
      </c>
    </row>
  </sheetData>
  <mergeCells count="1">
    <mergeCell ref="C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B3CE-58E5-4593-9204-9DAA94AA8634}">
  <dimension ref="A1:T11"/>
  <sheetViews>
    <sheetView tabSelected="1" topLeftCell="N1" workbookViewId="0">
      <selection activeCell="A10" sqref="A10:XFD10"/>
    </sheetView>
  </sheetViews>
  <sheetFormatPr defaultRowHeight="14.4" x14ac:dyDescent="0.3"/>
  <cols>
    <col min="1" max="1" width="17.88671875" customWidth="1"/>
    <col min="2" max="2" width="13" customWidth="1"/>
    <col min="8" max="8" width="13.33203125" customWidth="1"/>
    <col min="14" max="14" width="12.109375" customWidth="1"/>
  </cols>
  <sheetData>
    <row r="1" spans="1:20" x14ac:dyDescent="0.3">
      <c r="C1" s="13" t="s">
        <v>7</v>
      </c>
      <c r="D1" s="13"/>
      <c r="E1" s="13"/>
      <c r="F1" s="13"/>
      <c r="G1" s="13"/>
      <c r="H1" s="13"/>
      <c r="I1" t="s">
        <v>8</v>
      </c>
    </row>
    <row r="2" spans="1:20" x14ac:dyDescent="0.3">
      <c r="A2" t="s">
        <v>2</v>
      </c>
      <c r="B2" t="s">
        <v>27</v>
      </c>
      <c r="C2" t="s">
        <v>0</v>
      </c>
      <c r="D2" t="s">
        <v>1</v>
      </c>
      <c r="E2" t="s">
        <v>3</v>
      </c>
      <c r="F2" t="s">
        <v>4</v>
      </c>
      <c r="G2" t="s">
        <v>44</v>
      </c>
      <c r="H2" t="s">
        <v>5</v>
      </c>
      <c r="I2" t="s">
        <v>0</v>
      </c>
      <c r="J2" t="s">
        <v>1</v>
      </c>
      <c r="K2" t="s">
        <v>3</v>
      </c>
      <c r="L2" t="s">
        <v>4</v>
      </c>
      <c r="M2" t="s">
        <v>44</v>
      </c>
      <c r="N2" t="s">
        <v>5</v>
      </c>
      <c r="O2" t="s">
        <v>0</v>
      </c>
      <c r="P2" t="s">
        <v>1</v>
      </c>
      <c r="Q2" t="s">
        <v>3</v>
      </c>
      <c r="R2" t="s">
        <v>4</v>
      </c>
      <c r="S2" t="s">
        <v>44</v>
      </c>
      <c r="T2" t="s">
        <v>5</v>
      </c>
    </row>
    <row r="3" spans="1:20" x14ac:dyDescent="0.3">
      <c r="A3" t="s">
        <v>32</v>
      </c>
      <c r="B3">
        <v>397.8</v>
      </c>
      <c r="C3" s="6">
        <v>0.06</v>
      </c>
      <c r="D3" s="6">
        <v>0.1</v>
      </c>
      <c r="E3" s="6">
        <v>0.1</v>
      </c>
      <c r="F3" s="6"/>
      <c r="G3" s="6">
        <v>0.35</v>
      </c>
      <c r="H3" s="6"/>
      <c r="I3" s="11">
        <f>$B$3*C3</f>
        <v>23.867999999999999</v>
      </c>
      <c r="J3" s="11">
        <f>$B$3*D3</f>
        <v>39.78</v>
      </c>
      <c r="K3" s="11">
        <f>$B$3*E3</f>
        <v>39.78</v>
      </c>
      <c r="L3" s="11">
        <f t="shared" ref="L3:M11" si="0">$B$3*F3</f>
        <v>0</v>
      </c>
      <c r="M3" s="11">
        <f t="shared" si="0"/>
        <v>139.22999999999999</v>
      </c>
      <c r="N3" s="11"/>
      <c r="O3">
        <f>ROUNDUP(I3,0)</f>
        <v>24</v>
      </c>
      <c r="P3">
        <f>ROUNDUP(J3,0)</f>
        <v>40</v>
      </c>
      <c r="Q3">
        <f>ROUNDUP(K3,0)</f>
        <v>40</v>
      </c>
      <c r="R3">
        <f>ROUNDUP(L3,0)</f>
        <v>0</v>
      </c>
      <c r="S3">
        <f>ROUNDUP(M3,0)</f>
        <v>140</v>
      </c>
      <c r="T3">
        <f t="shared" ref="T3:T10" si="1">ROUNDUP(N3,0)</f>
        <v>0</v>
      </c>
    </row>
    <row r="4" spans="1:20" x14ac:dyDescent="0.3">
      <c r="A4" t="s">
        <v>33</v>
      </c>
      <c r="B4">
        <v>478.32</v>
      </c>
      <c r="C4" s="6">
        <v>0.06</v>
      </c>
      <c r="D4" s="6">
        <v>0.1</v>
      </c>
      <c r="E4" s="6">
        <v>0.1</v>
      </c>
      <c r="F4" s="6"/>
      <c r="G4" s="6">
        <v>0.35</v>
      </c>
      <c r="H4" s="6"/>
      <c r="I4" s="11">
        <f>$B$4*C4</f>
        <v>28.699199999999998</v>
      </c>
      <c r="J4" s="11">
        <f t="shared" ref="J4:M4" si="2">$B$4*D4</f>
        <v>47.832000000000001</v>
      </c>
      <c r="K4" s="11">
        <f t="shared" si="2"/>
        <v>47.832000000000001</v>
      </c>
      <c r="L4" s="11">
        <f t="shared" si="2"/>
        <v>0</v>
      </c>
      <c r="M4" s="11">
        <f t="shared" si="2"/>
        <v>167.41199999999998</v>
      </c>
      <c r="N4" s="11"/>
      <c r="O4">
        <f t="shared" ref="O4:O10" si="3">ROUNDUP(I4,0)</f>
        <v>29</v>
      </c>
      <c r="P4">
        <f>ROUNDUP(J4,0)</f>
        <v>48</v>
      </c>
      <c r="Q4">
        <f>ROUNDUP(K4,0)</f>
        <v>48</v>
      </c>
      <c r="R4">
        <f>ROUNDUP(L4,0)</f>
        <v>0</v>
      </c>
      <c r="S4">
        <f t="shared" ref="S4:S11" si="4">ROUNDUP(M4,0)</f>
        <v>168</v>
      </c>
      <c r="T4">
        <f t="shared" si="1"/>
        <v>0</v>
      </c>
    </row>
    <row r="5" spans="1:20" x14ac:dyDescent="0.3">
      <c r="A5" t="s">
        <v>34</v>
      </c>
      <c r="B5">
        <v>138.00800000000001</v>
      </c>
      <c r="C5" s="6">
        <v>0.06</v>
      </c>
      <c r="D5" s="6">
        <v>0.1</v>
      </c>
      <c r="E5" s="6">
        <v>0.1</v>
      </c>
      <c r="F5" s="6"/>
      <c r="G5" s="6">
        <v>0.35</v>
      </c>
      <c r="H5" s="6"/>
      <c r="I5" s="11">
        <f>$B$5*C5</f>
        <v>8.2804800000000007</v>
      </c>
      <c r="J5" s="11">
        <f t="shared" ref="J5:M5" si="5">$B$5*D5</f>
        <v>13.800800000000002</v>
      </c>
      <c r="K5" s="11">
        <f t="shared" si="5"/>
        <v>13.800800000000002</v>
      </c>
      <c r="L5" s="11">
        <f t="shared" si="5"/>
        <v>0</v>
      </c>
      <c r="M5" s="11">
        <f t="shared" si="5"/>
        <v>48.302799999999998</v>
      </c>
      <c r="N5" s="11"/>
      <c r="O5">
        <f t="shared" si="3"/>
        <v>9</v>
      </c>
      <c r="P5">
        <f>ROUNDUP(J5,0)</f>
        <v>14</v>
      </c>
      <c r="Q5">
        <f>ROUNDUP(K5,0)</f>
        <v>14</v>
      </c>
      <c r="R5">
        <f>ROUNDUP(L5,0)</f>
        <v>0</v>
      </c>
      <c r="S5">
        <f t="shared" si="4"/>
        <v>49</v>
      </c>
      <c r="T5">
        <f t="shared" si="1"/>
        <v>0</v>
      </c>
    </row>
    <row r="6" spans="1:20" x14ac:dyDescent="0.3">
      <c r="A6" t="s">
        <v>35</v>
      </c>
      <c r="B6">
        <v>73.599999999999994</v>
      </c>
      <c r="C6" s="6">
        <v>0.06</v>
      </c>
      <c r="D6" s="6">
        <v>0.1</v>
      </c>
      <c r="E6" s="6">
        <v>0.1</v>
      </c>
      <c r="F6" s="6"/>
      <c r="G6" s="6">
        <v>0.35</v>
      </c>
      <c r="H6" s="6"/>
      <c r="I6" s="11">
        <f>$B$6*C6</f>
        <v>4.4159999999999995</v>
      </c>
      <c r="J6" s="11">
        <f t="shared" ref="J6:M6" si="6">$B$6*D6</f>
        <v>7.3599999999999994</v>
      </c>
      <c r="K6" s="11">
        <f t="shared" si="6"/>
        <v>7.3599999999999994</v>
      </c>
      <c r="L6" s="11">
        <f t="shared" si="6"/>
        <v>0</v>
      </c>
      <c r="M6" s="11">
        <f t="shared" si="6"/>
        <v>25.759999999999998</v>
      </c>
      <c r="N6" s="11"/>
      <c r="O6">
        <f t="shared" si="3"/>
        <v>5</v>
      </c>
      <c r="P6">
        <f>ROUNDUP(J6,0)</f>
        <v>8</v>
      </c>
      <c r="Q6">
        <f>ROUNDUP(K6,0)</f>
        <v>8</v>
      </c>
      <c r="R6">
        <f>ROUNDUP(L6,0)</f>
        <v>0</v>
      </c>
      <c r="S6">
        <f t="shared" si="4"/>
        <v>26</v>
      </c>
      <c r="T6">
        <f t="shared" si="1"/>
        <v>0</v>
      </c>
    </row>
    <row r="7" spans="1:20" x14ac:dyDescent="0.3">
      <c r="A7" t="s">
        <v>36</v>
      </c>
      <c r="B7">
        <v>88.753</v>
      </c>
      <c r="C7" s="6">
        <v>0.06</v>
      </c>
      <c r="D7" s="6">
        <v>0.1</v>
      </c>
      <c r="E7" s="6">
        <v>0.1</v>
      </c>
      <c r="F7" s="6"/>
      <c r="G7" s="6">
        <v>0.35</v>
      </c>
      <c r="H7" s="6"/>
      <c r="I7" s="11">
        <f>$B$7*C7</f>
        <v>5.3251799999999996</v>
      </c>
      <c r="J7" s="11">
        <f t="shared" ref="J7:M7" si="7">$B$7*D7</f>
        <v>8.8753000000000011</v>
      </c>
      <c r="K7" s="11">
        <f t="shared" si="7"/>
        <v>8.8753000000000011</v>
      </c>
      <c r="L7" s="11">
        <f t="shared" si="7"/>
        <v>0</v>
      </c>
      <c r="M7" s="11">
        <f t="shared" si="7"/>
        <v>31.063549999999999</v>
      </c>
      <c r="N7" s="11"/>
      <c r="O7">
        <f t="shared" si="3"/>
        <v>6</v>
      </c>
      <c r="P7">
        <f>ROUNDUP(J7,0)</f>
        <v>9</v>
      </c>
      <c r="Q7">
        <f>ROUNDUP(K7,0)</f>
        <v>9</v>
      </c>
      <c r="R7">
        <f>ROUNDUP(L7,0)</f>
        <v>0</v>
      </c>
      <c r="S7">
        <f t="shared" si="4"/>
        <v>32</v>
      </c>
      <c r="T7">
        <f t="shared" si="1"/>
        <v>0</v>
      </c>
    </row>
    <row r="8" spans="1:20" x14ac:dyDescent="0.3">
      <c r="A8" t="s">
        <v>37</v>
      </c>
      <c r="B8">
        <v>88.314999999999998</v>
      </c>
      <c r="C8" s="6">
        <v>0.06</v>
      </c>
      <c r="D8" s="6">
        <v>0.1</v>
      </c>
      <c r="E8" s="6">
        <v>0.1</v>
      </c>
      <c r="F8" s="6"/>
      <c r="G8" s="6">
        <v>0.35</v>
      </c>
      <c r="H8" s="6"/>
      <c r="I8" s="11">
        <f>$B$8*C8</f>
        <v>5.2988999999999997</v>
      </c>
      <c r="J8" s="11">
        <f t="shared" ref="J8:M8" si="8">$B$8*D8</f>
        <v>8.8315000000000001</v>
      </c>
      <c r="K8" s="11">
        <f t="shared" si="8"/>
        <v>8.8315000000000001</v>
      </c>
      <c r="L8" s="11">
        <f t="shared" si="8"/>
        <v>0</v>
      </c>
      <c r="M8" s="11">
        <f t="shared" si="8"/>
        <v>30.910249999999998</v>
      </c>
      <c r="N8" s="11"/>
      <c r="O8">
        <f t="shared" si="3"/>
        <v>6</v>
      </c>
      <c r="P8">
        <f>ROUNDUP(J8,0)</f>
        <v>9</v>
      </c>
      <c r="Q8">
        <f>ROUNDUP(K8,0)</f>
        <v>9</v>
      </c>
      <c r="R8">
        <f>ROUNDUP(L8,0)</f>
        <v>0</v>
      </c>
      <c r="S8">
        <f t="shared" si="4"/>
        <v>31</v>
      </c>
      <c r="T8">
        <f t="shared" si="1"/>
        <v>0</v>
      </c>
    </row>
    <row r="9" spans="1:20" x14ac:dyDescent="0.3">
      <c r="A9" t="s">
        <v>38</v>
      </c>
      <c r="B9">
        <v>38.595999999999997</v>
      </c>
      <c r="C9" s="6">
        <v>0.06</v>
      </c>
      <c r="D9" s="6">
        <v>0.1</v>
      </c>
      <c r="E9" s="6">
        <v>0.1</v>
      </c>
      <c r="F9" s="6"/>
      <c r="G9" s="6">
        <v>0.35</v>
      </c>
      <c r="H9" s="6"/>
      <c r="I9" s="11">
        <f>$B$9*C9</f>
        <v>2.3157599999999996</v>
      </c>
      <c r="J9" s="11">
        <f t="shared" ref="J9:M9" si="9">$B$9*D9</f>
        <v>3.8595999999999999</v>
      </c>
      <c r="K9" s="11">
        <f t="shared" si="9"/>
        <v>3.8595999999999999</v>
      </c>
      <c r="L9" s="11">
        <f t="shared" si="9"/>
        <v>0</v>
      </c>
      <c r="M9" s="11">
        <f t="shared" si="9"/>
        <v>13.508599999999998</v>
      </c>
      <c r="N9" s="11"/>
      <c r="O9">
        <f t="shared" si="3"/>
        <v>3</v>
      </c>
      <c r="P9">
        <f>ROUNDUP(J9,0)</f>
        <v>4</v>
      </c>
      <c r="Q9">
        <f>ROUNDUP(K9,0)</f>
        <v>4</v>
      </c>
      <c r="R9">
        <f>ROUNDUP(L9,0)</f>
        <v>0</v>
      </c>
      <c r="S9">
        <f t="shared" si="4"/>
        <v>14</v>
      </c>
      <c r="T9">
        <f t="shared" si="1"/>
        <v>0</v>
      </c>
    </row>
    <row r="10" spans="1:20" x14ac:dyDescent="0.3">
      <c r="A10" t="s">
        <v>45</v>
      </c>
      <c r="B10">
        <v>215.64</v>
      </c>
      <c r="C10" s="6">
        <v>0.12</v>
      </c>
      <c r="D10" s="6">
        <v>0.2</v>
      </c>
      <c r="E10" s="6">
        <v>0.1</v>
      </c>
      <c r="F10" s="6"/>
      <c r="G10" s="6">
        <v>0.35</v>
      </c>
      <c r="H10" s="6"/>
      <c r="I10" s="11">
        <f>$B$10*C10</f>
        <v>25.876799999999996</v>
      </c>
      <c r="J10" s="11">
        <f t="shared" ref="J10:K10" si="10">$B$10*D10</f>
        <v>43.128</v>
      </c>
      <c r="K10" s="11">
        <f t="shared" si="10"/>
        <v>21.564</v>
      </c>
      <c r="L10" s="11"/>
      <c r="M10" s="11"/>
      <c r="N10" s="11"/>
      <c r="O10">
        <f t="shared" si="3"/>
        <v>26</v>
      </c>
      <c r="P10">
        <f>ROUNDUP(J10,0)</f>
        <v>44</v>
      </c>
      <c r="Q10">
        <f>ROUNDUP(K10,0)</f>
        <v>22</v>
      </c>
      <c r="R10">
        <f>ROUNDUP(L10,0)</f>
        <v>0</v>
      </c>
      <c r="S10">
        <f t="shared" si="4"/>
        <v>0</v>
      </c>
      <c r="T10">
        <f t="shared" si="1"/>
        <v>0</v>
      </c>
    </row>
    <row r="11" spans="1:20" x14ac:dyDescent="0.3">
      <c r="A11" s="10" t="s">
        <v>42</v>
      </c>
      <c r="G11" s="6"/>
      <c r="M11" s="11"/>
    </row>
  </sheetData>
  <mergeCells count="1">
    <mergeCell ref="C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880fc2-611e-4279-bde6-bbbaea0540d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20E1A00D616641B849828FEE19A898" ma:contentTypeVersion="5" ma:contentTypeDescription="Create a new document." ma:contentTypeScope="" ma:versionID="610c356e83ebc856ce2c3fe66c505075">
  <xsd:schema xmlns:xsd="http://www.w3.org/2001/XMLSchema" xmlns:xs="http://www.w3.org/2001/XMLSchema" xmlns:p="http://schemas.microsoft.com/office/2006/metadata/properties" xmlns:ns3="5f880fc2-611e-4279-bde6-bbbaea0540dc" targetNamespace="http://schemas.microsoft.com/office/2006/metadata/properties" ma:root="true" ma:fieldsID="0f7ca72c919dfac9059f29af3a19f8ed" ns3:_="">
    <xsd:import namespace="5f880fc2-611e-4279-bde6-bbbaea0540d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80fc2-611e-4279-bde6-bbbaea0540d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86275F-3FFD-41AE-B8B5-C710F7247D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286B00-C332-4CD1-A5F6-D3DD6B5CB603}">
  <ds:schemaRefs>
    <ds:schemaRef ds:uri="http://purl.org/dc/elements/1.1/"/>
    <ds:schemaRef ds:uri="http://schemas.microsoft.com/office/2006/documentManagement/types"/>
    <ds:schemaRef ds:uri="5f880fc2-611e-4279-bde6-bbbaea0540dc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2FE48F7-4EAF-4E1D-89D7-A8FCC8E9129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f880fc2-611e-4279-bde6-bbbaea0540d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Excavation</vt:lpstr>
      <vt:lpstr>R_C_C</vt:lpstr>
      <vt:lpstr>Formwork</vt:lpstr>
      <vt:lpstr>Brickwork</vt:lpstr>
      <vt:lpstr>Plastering and painting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Manpreeth M P</dc:creator>
  <cp:lastModifiedBy>Manpreeth M P</cp:lastModifiedBy>
  <dcterms:created xsi:type="dcterms:W3CDTF">2026-04-19T09:17:11Z</dcterms:created>
  <dcterms:modified xsi:type="dcterms:W3CDTF">2026-05-01T19:09:04Z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0x0101006E20E1A00D616641B849828FEE19A898</vt:lpwstr>
  </property>
</Properties>
</file>